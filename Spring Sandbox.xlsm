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andbox" sheetId="1" r:id="rId1"/>
    <sheet name="Test Results" sheetId="7" r:id="rId2"/>
    <sheet name="Costs Calculations" sheetId="4" r:id="rId3"/>
    <sheet name="Sheet3" sheetId="6" r:id="rId4"/>
    <sheet name="lookups" sheetId="2" r:id="rId5"/>
    <sheet name="Sheet1" sheetId="8" r:id="rId6"/>
    <sheet name="Spring Turn Diameter" sheetId="9" r:id="rId7"/>
  </sheets>
  <definedNames>
    <definedName name="_xlnm._FilterDatabase" localSheetId="2" hidden="1">'Costs Calculations'!$A$30:$H$56</definedName>
    <definedName name="avgtens">Sandbox!$E$12</definedName>
    <definedName name="cyc">Sandbox!$H$8</definedName>
    <definedName name="cycrat">Sandbox!$G$12</definedName>
    <definedName name="ds_cyc">Sandbox!$S$8</definedName>
    <definedName name="ds_ippt">Sandbox!$Q$8</definedName>
    <definedName name="ds_pipe">Sandbox!$T$8</definedName>
    <definedName name="ds_tt">Sandbox!$R$8</definedName>
    <definedName name="ippt">Sandbox!$D$8</definedName>
    <definedName name="lift">Sandbox!$D$12</definedName>
    <definedName name="linked_duplex">Sandbox!$Q$14:$T$15</definedName>
    <definedName name="mp">Sandbox!$F$12</definedName>
    <definedName name="mp_base">Sandbox!$F$12</definedName>
    <definedName name="tt">Sandbox!$E$8</definedName>
    <definedName name="w1_cl">Sandbox!$S$14</definedName>
    <definedName name="w1_lu">Sandbox!$R$14</definedName>
    <definedName name="w1_od">Sandbox!$T$14</definedName>
    <definedName name="w1_wd">Sandbox!$Q$14</definedName>
    <definedName name="w2_cl">Sandbox!$S$15</definedName>
    <definedName name="w2_lu">Sandbox!$R$15</definedName>
    <definedName name="w2_od">Sandbox!$T$15</definedName>
    <definedName name="w2_wd">Sandbox!$Q$15</definedName>
    <definedName name="wd">Sandbox!$F$8</definedName>
  </definedNames>
  <calcPr calcId="125725"/>
</workbook>
</file>

<file path=xl/calcChain.xml><?xml version="1.0" encoding="utf-8"?>
<calcChain xmlns="http://schemas.openxmlformats.org/spreadsheetml/2006/main">
  <c r="D5" i="9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4"/>
  <c r="M5"/>
  <c r="N5" s="1"/>
  <c r="M6"/>
  <c r="N6" s="1"/>
  <c r="M7"/>
  <c r="N7" s="1"/>
  <c r="M8"/>
  <c r="N8" s="1"/>
  <c r="M9"/>
  <c r="N9" s="1"/>
  <c r="M10"/>
  <c r="N10" s="1"/>
  <c r="M11"/>
  <c r="N11" s="1"/>
  <c r="M12"/>
  <c r="N12" s="1"/>
  <c r="M13"/>
  <c r="N13" s="1"/>
  <c r="M4"/>
  <c r="N4" s="1"/>
  <c r="U38" i="7"/>
  <c r="U39"/>
  <c r="U37"/>
  <c r="J5"/>
  <c r="J9"/>
  <c r="J10"/>
  <c r="J11"/>
  <c r="J15"/>
  <c r="J16"/>
  <c r="J20"/>
  <c r="J21"/>
  <c r="J25"/>
  <c r="J26"/>
  <c r="J27"/>
  <c r="J31"/>
  <c r="J32"/>
  <c r="J33"/>
  <c r="J37"/>
  <c r="J43"/>
  <c r="J44"/>
  <c r="J45"/>
  <c r="J49"/>
  <c r="J50"/>
  <c r="J51"/>
  <c r="J4"/>
  <c r="F3" i="4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F4"/>
  <c r="F6"/>
  <c r="F8"/>
  <c r="F12"/>
  <c r="F16"/>
  <c r="F20"/>
  <c r="F24"/>
  <c r="F28"/>
  <c r="H3"/>
  <c r="O4"/>
  <c r="P57" i="8"/>
  <c r="P58"/>
  <c r="P59"/>
  <c r="P60"/>
  <c r="P61"/>
  <c r="P62"/>
  <c r="P63"/>
  <c r="P64"/>
  <c r="P65"/>
  <c r="P56"/>
  <c r="P47"/>
  <c r="P48"/>
  <c r="P49"/>
  <c r="P50"/>
  <c r="P51"/>
  <c r="P52"/>
  <c r="P53"/>
  <c r="P54"/>
  <c r="P46"/>
  <c r="P38"/>
  <c r="P39"/>
  <c r="P40"/>
  <c r="P41"/>
  <c r="P42"/>
  <c r="P43"/>
  <c r="P44"/>
  <c r="P37"/>
  <c r="P30"/>
  <c r="P31"/>
  <c r="P32"/>
  <c r="P33"/>
  <c r="P34"/>
  <c r="P35"/>
  <c r="P29"/>
  <c r="P23"/>
  <c r="P24"/>
  <c r="P25"/>
  <c r="P26"/>
  <c r="P27"/>
  <c r="P22"/>
  <c r="P17"/>
  <c r="P18"/>
  <c r="P19"/>
  <c r="P20"/>
  <c r="P16"/>
  <c r="P12"/>
  <c r="P13"/>
  <c r="P14"/>
  <c r="P11"/>
  <c r="P8"/>
  <c r="P9"/>
  <c r="P7"/>
  <c r="P5"/>
  <c r="P4"/>
  <c r="P2"/>
  <c r="P3"/>
  <c r="P6"/>
  <c r="P10"/>
  <c r="P15"/>
  <c r="P21"/>
  <c r="P28"/>
  <c r="P36"/>
  <c r="P45"/>
  <c r="P55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"/>
  <c r="C3"/>
  <c r="H3" s="1"/>
  <c r="C4"/>
  <c r="F4" s="1"/>
  <c r="C5"/>
  <c r="H5" s="1"/>
  <c r="C6"/>
  <c r="F6" s="1"/>
  <c r="C7"/>
  <c r="H7" s="1"/>
  <c r="C8"/>
  <c r="F8" s="1"/>
  <c r="C9"/>
  <c r="H9" s="1"/>
  <c r="C10"/>
  <c r="F10" s="1"/>
  <c r="C11"/>
  <c r="H11" s="1"/>
  <c r="C12"/>
  <c r="F12" s="1"/>
  <c r="C13"/>
  <c r="H13" s="1"/>
  <c r="C14"/>
  <c r="F14" s="1"/>
  <c r="C15"/>
  <c r="H15" s="1"/>
  <c r="C16"/>
  <c r="F16" s="1"/>
  <c r="C17"/>
  <c r="H17" s="1"/>
  <c r="C18"/>
  <c r="F18" s="1"/>
  <c r="C19"/>
  <c r="H19" s="1"/>
  <c r="C20"/>
  <c r="F20" s="1"/>
  <c r="C21"/>
  <c r="H21" s="1"/>
  <c r="C2"/>
  <c r="H2" s="1"/>
  <c r="S17" i="1"/>
  <c r="S16"/>
  <c r="C52" i="6"/>
  <c r="C53"/>
  <c r="C54"/>
  <c r="C55"/>
  <c r="C56"/>
  <c r="C57"/>
  <c r="C58"/>
  <c r="C59"/>
  <c r="C60"/>
  <c r="C51"/>
  <c r="U12"/>
  <c r="V12"/>
  <c r="W12"/>
  <c r="X12"/>
  <c r="Y12"/>
  <c r="T12"/>
  <c r="U11"/>
  <c r="V11"/>
  <c r="W11"/>
  <c r="X11"/>
  <c r="Y11"/>
  <c r="T11"/>
  <c r="U10"/>
  <c r="V10"/>
  <c r="W10"/>
  <c r="X10"/>
  <c r="Y10"/>
  <c r="T10"/>
  <c r="AA19" i="1"/>
  <c r="AA18"/>
  <c r="AA17"/>
  <c r="AA16"/>
  <c r="Z14"/>
  <c r="Z15"/>
  <c r="Z16"/>
  <c r="Z17"/>
  <c r="Z18"/>
  <c r="Z19"/>
  <c r="V14"/>
  <c r="V15"/>
  <c r="V16"/>
  <c r="V17"/>
  <c r="V18"/>
  <c r="Y18" s="1"/>
  <c r="V19"/>
  <c r="Y19" s="1"/>
  <c r="X18"/>
  <c r="X19"/>
  <c r="W14"/>
  <c r="X14" s="1"/>
  <c r="W15"/>
  <c r="X15" s="1"/>
  <c r="W16"/>
  <c r="X16" s="1"/>
  <c r="W17"/>
  <c r="X17" s="1"/>
  <c r="W18"/>
  <c r="W19"/>
  <c r="T12" a="1"/>
  <c r="T12" s="1"/>
  <c r="T13" s="1" a="1"/>
  <c r="T13" s="1"/>
  <c r="X7" i="7"/>
  <c r="X8"/>
  <c r="X9"/>
  <c r="X10"/>
  <c r="W6"/>
  <c r="X6" s="1"/>
  <c r="W7"/>
  <c r="W8"/>
  <c r="W9"/>
  <c r="W10"/>
  <c r="W5"/>
  <c r="X5" s="1"/>
  <c r="F47"/>
  <c r="F41"/>
  <c r="Q35"/>
  <c r="F35"/>
  <c r="F29"/>
  <c r="F23"/>
  <c r="AA21" i="4"/>
  <c r="AB21"/>
  <c r="AB15"/>
  <c r="AB13"/>
  <c r="AC13" s="1"/>
  <c r="AB14"/>
  <c r="AC14" s="1"/>
  <c r="AB11"/>
  <c r="AC11" s="1"/>
  <c r="AB20"/>
  <c r="AC20" s="1"/>
  <c r="AB19"/>
  <c r="AC19" s="1"/>
  <c r="AB17"/>
  <c r="AC17" s="1"/>
  <c r="B79" i="6"/>
  <c r="C79"/>
  <c r="D79"/>
  <c r="E79"/>
  <c r="F79"/>
  <c r="G79"/>
  <c r="H79"/>
  <c r="I79"/>
  <c r="J79"/>
  <c r="K79"/>
  <c r="L79"/>
  <c r="M79"/>
  <c r="B80"/>
  <c r="C80"/>
  <c r="D80"/>
  <c r="E80"/>
  <c r="F80"/>
  <c r="G80"/>
  <c r="H80"/>
  <c r="I80"/>
  <c r="J80"/>
  <c r="K80"/>
  <c r="L80"/>
  <c r="M80"/>
  <c r="B81"/>
  <c r="C81"/>
  <c r="D81"/>
  <c r="E81"/>
  <c r="F81"/>
  <c r="G81"/>
  <c r="H81"/>
  <c r="I81"/>
  <c r="J81"/>
  <c r="K81"/>
  <c r="L81"/>
  <c r="M81"/>
  <c r="B82"/>
  <c r="C82"/>
  <c r="D82"/>
  <c r="E82"/>
  <c r="F82"/>
  <c r="G82"/>
  <c r="H82"/>
  <c r="I82"/>
  <c r="J82"/>
  <c r="K82"/>
  <c r="L82"/>
  <c r="M82"/>
  <c r="B83"/>
  <c r="C83"/>
  <c r="D83"/>
  <c r="E83"/>
  <c r="F83"/>
  <c r="G83"/>
  <c r="H83"/>
  <c r="I83"/>
  <c r="J83"/>
  <c r="K83"/>
  <c r="L83"/>
  <c r="M83"/>
  <c r="B84"/>
  <c r="C84"/>
  <c r="D84"/>
  <c r="E84"/>
  <c r="F84"/>
  <c r="G84"/>
  <c r="H84"/>
  <c r="I84"/>
  <c r="J84"/>
  <c r="K84"/>
  <c r="L84"/>
  <c r="M84"/>
  <c r="B85"/>
  <c r="C85"/>
  <c r="D85"/>
  <c r="E85"/>
  <c r="F85"/>
  <c r="G85"/>
  <c r="H85"/>
  <c r="I85"/>
  <c r="J85"/>
  <c r="K85"/>
  <c r="L85"/>
  <c r="M85"/>
  <c r="B86"/>
  <c r="C86"/>
  <c r="D86"/>
  <c r="E86"/>
  <c r="F86"/>
  <c r="G86"/>
  <c r="H86"/>
  <c r="I86"/>
  <c r="J86"/>
  <c r="K86"/>
  <c r="L86"/>
  <c r="M86"/>
  <c r="B87"/>
  <c r="C87"/>
  <c r="D87"/>
  <c r="E87"/>
  <c r="F87"/>
  <c r="G87"/>
  <c r="H87"/>
  <c r="I87"/>
  <c r="J87"/>
  <c r="K87"/>
  <c r="L87"/>
  <c r="M87"/>
  <c r="C78"/>
  <c r="D78"/>
  <c r="E78"/>
  <c r="F78"/>
  <c r="G78"/>
  <c r="H78"/>
  <c r="I78"/>
  <c r="J78"/>
  <c r="K78"/>
  <c r="L78"/>
  <c r="M78"/>
  <c r="B78"/>
  <c r="V22" i="4"/>
  <c r="W22"/>
  <c r="U22"/>
  <c r="S23"/>
  <c r="S24"/>
  <c r="S25"/>
  <c r="S26"/>
  <c r="S27"/>
  <c r="S28"/>
  <c r="S29"/>
  <c r="S30"/>
  <c r="S31"/>
  <c r="S32"/>
  <c r="O23"/>
  <c r="O24"/>
  <c r="O25"/>
  <c r="O26"/>
  <c r="O27"/>
  <c r="O28"/>
  <c r="O29"/>
  <c r="O30"/>
  <c r="O31"/>
  <c r="O32"/>
  <c r="W12"/>
  <c r="V12"/>
  <c r="W11"/>
  <c r="V11"/>
  <c r="V13" s="1"/>
  <c r="P12"/>
  <c r="Q12"/>
  <c r="P13"/>
  <c r="Q13"/>
  <c r="P14"/>
  <c r="Q14"/>
  <c r="P15"/>
  <c r="Q15"/>
  <c r="P16"/>
  <c r="Q16"/>
  <c r="P17"/>
  <c r="Q17"/>
  <c r="P18"/>
  <c r="Q18"/>
  <c r="P19"/>
  <c r="Q19"/>
  <c r="P20"/>
  <c r="Q20"/>
  <c r="P11"/>
  <c r="Q11"/>
  <c r="W13"/>
  <c r="U13"/>
  <c r="L12"/>
  <c r="L13"/>
  <c r="L14"/>
  <c r="L15"/>
  <c r="L16"/>
  <c r="L17"/>
  <c r="L18"/>
  <c r="L19"/>
  <c r="L1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3"/>
  <c r="D32"/>
  <c r="A32" s="1"/>
  <c r="G32"/>
  <c r="D34"/>
  <c r="A34" s="1"/>
  <c r="G34"/>
  <c r="D35"/>
  <c r="A35" s="1"/>
  <c r="G35"/>
  <c r="D37"/>
  <c r="G37"/>
  <c r="D44"/>
  <c r="G44"/>
  <c r="G33"/>
  <c r="G36"/>
  <c r="G38"/>
  <c r="G39"/>
  <c r="G40"/>
  <c r="G41"/>
  <c r="G42"/>
  <c r="G43"/>
  <c r="G45"/>
  <c r="G46"/>
  <c r="G47"/>
  <c r="G48"/>
  <c r="G49"/>
  <c r="G50"/>
  <c r="G51"/>
  <c r="G52"/>
  <c r="G53"/>
  <c r="G54"/>
  <c r="G55"/>
  <c r="G56"/>
  <c r="G31"/>
  <c r="D42"/>
  <c r="D43"/>
  <c r="D45"/>
  <c r="D46"/>
  <c r="D47"/>
  <c r="D51"/>
  <c r="D54"/>
  <c r="D49"/>
  <c r="D33"/>
  <c r="A33" s="1"/>
  <c r="D36"/>
  <c r="D38"/>
  <c r="A38" s="1"/>
  <c r="D39"/>
  <c r="D40"/>
  <c r="A40" s="1"/>
  <c r="D41"/>
  <c r="D48"/>
  <c r="D50"/>
  <c r="D52"/>
  <c r="D53"/>
  <c r="D55"/>
  <c r="D56"/>
  <c r="D31"/>
  <c r="A31" s="1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3"/>
  <c r="F25"/>
  <c r="F21"/>
  <c r="F22"/>
  <c r="F11"/>
  <c r="F26"/>
  <c r="F14"/>
  <c r="S4"/>
  <c r="F15"/>
  <c r="F17"/>
  <c r="F10"/>
  <c r="F27"/>
  <c r="F5"/>
  <c r="F7"/>
  <c r="F9"/>
  <c r="F13"/>
  <c r="F18"/>
  <c r="F19"/>
  <c r="F23"/>
  <c r="G22" i="1"/>
  <c r="H22" s="1"/>
  <c r="I22" s="1"/>
  <c r="D16"/>
  <c r="G16" s="1"/>
  <c r="D2" i="2"/>
  <c r="D3"/>
  <c r="D4"/>
  <c r="D5"/>
  <c r="D6"/>
  <c r="D7"/>
  <c r="D8"/>
  <c r="D9"/>
  <c r="D10"/>
  <c r="D11"/>
  <c r="G17" i="1"/>
  <c r="G18"/>
  <c r="H18" s="1"/>
  <c r="I18" s="1"/>
  <c r="G19"/>
  <c r="H19" s="1"/>
  <c r="I19" s="1"/>
  <c r="G20"/>
  <c r="G21"/>
  <c r="H21" s="1"/>
  <c r="I21" s="1"/>
  <c r="G26"/>
  <c r="I26" s="1"/>
  <c r="H26" s="1"/>
  <c r="G27"/>
  <c r="I27" s="1"/>
  <c r="G28"/>
  <c r="I28" s="1"/>
  <c r="H28" s="1"/>
  <c r="G29"/>
  <c r="I29" s="1"/>
  <c r="H29" s="1"/>
  <c r="H12"/>
  <c r="G12"/>
  <c r="E12"/>
  <c r="D12"/>
  <c r="C16" s="1"/>
  <c r="F12"/>
  <c r="C12"/>
  <c r="E158" i="9" l="1"/>
  <c r="E156"/>
  <c r="E154"/>
  <c r="E152"/>
  <c r="E150"/>
  <c r="E148"/>
  <c r="E146"/>
  <c r="E144"/>
  <c r="E142"/>
  <c r="E140"/>
  <c r="E138"/>
  <c r="E136"/>
  <c r="E134"/>
  <c r="E132"/>
  <c r="E130"/>
  <c r="E128"/>
  <c r="E126"/>
  <c r="E124"/>
  <c r="E122"/>
  <c r="E120"/>
  <c r="E118"/>
  <c r="E116"/>
  <c r="E114"/>
  <c r="E112"/>
  <c r="E110"/>
  <c r="E108"/>
  <c r="E106"/>
  <c r="E104"/>
  <c r="E102"/>
  <c r="E100"/>
  <c r="E98"/>
  <c r="E96"/>
  <c r="E94"/>
  <c r="E92"/>
  <c r="E90"/>
  <c r="E88"/>
  <c r="E86"/>
  <c r="E84"/>
  <c r="E82"/>
  <c r="E80"/>
  <c r="E78"/>
  <c r="E76"/>
  <c r="E74"/>
  <c r="E72"/>
  <c r="E70"/>
  <c r="E68"/>
  <c r="E66"/>
  <c r="E64"/>
  <c r="E62"/>
  <c r="E60"/>
  <c r="E58"/>
  <c r="E56"/>
  <c r="E54"/>
  <c r="E52"/>
  <c r="E50"/>
  <c r="E48"/>
  <c r="E46"/>
  <c r="E44"/>
  <c r="E42"/>
  <c r="E40"/>
  <c r="E38"/>
  <c r="E36"/>
  <c r="E34"/>
  <c r="E32"/>
  <c r="E30"/>
  <c r="E28"/>
  <c r="E26"/>
  <c r="E24"/>
  <c r="E22"/>
  <c r="E20"/>
  <c r="E18"/>
  <c r="E16"/>
  <c r="E14"/>
  <c r="E12"/>
  <c r="E10"/>
  <c r="E8"/>
  <c r="E6"/>
  <c r="E4"/>
  <c r="F4" s="1"/>
  <c r="G4" s="1"/>
  <c r="E157"/>
  <c r="F157" s="1"/>
  <c r="G157" s="1"/>
  <c r="E155"/>
  <c r="F155" s="1"/>
  <c r="G155" s="1"/>
  <c r="E153"/>
  <c r="F153" s="1"/>
  <c r="G153" s="1"/>
  <c r="E151"/>
  <c r="F151" s="1"/>
  <c r="G151" s="1"/>
  <c r="E149"/>
  <c r="F149" s="1"/>
  <c r="G149" s="1"/>
  <c r="E147"/>
  <c r="F147" s="1"/>
  <c r="G147" s="1"/>
  <c r="E145"/>
  <c r="F145" s="1"/>
  <c r="G145" s="1"/>
  <c r="E143"/>
  <c r="F143" s="1"/>
  <c r="G143" s="1"/>
  <c r="E141"/>
  <c r="F141" s="1"/>
  <c r="G141" s="1"/>
  <c r="E139"/>
  <c r="F139" s="1"/>
  <c r="G139" s="1"/>
  <c r="E137"/>
  <c r="F137" s="1"/>
  <c r="G137" s="1"/>
  <c r="E135"/>
  <c r="F135" s="1"/>
  <c r="G135" s="1"/>
  <c r="E133"/>
  <c r="F133" s="1"/>
  <c r="G133" s="1"/>
  <c r="E131"/>
  <c r="F131" s="1"/>
  <c r="G131" s="1"/>
  <c r="E129"/>
  <c r="F129" s="1"/>
  <c r="G129" s="1"/>
  <c r="E127"/>
  <c r="F127" s="1"/>
  <c r="G127" s="1"/>
  <c r="E125"/>
  <c r="F125" s="1"/>
  <c r="G125" s="1"/>
  <c r="E123"/>
  <c r="F123" s="1"/>
  <c r="G123" s="1"/>
  <c r="E121"/>
  <c r="F121" s="1"/>
  <c r="G121" s="1"/>
  <c r="E119"/>
  <c r="F119" s="1"/>
  <c r="G119" s="1"/>
  <c r="E117"/>
  <c r="F117" s="1"/>
  <c r="G117" s="1"/>
  <c r="E115"/>
  <c r="F115" s="1"/>
  <c r="G115" s="1"/>
  <c r="E113"/>
  <c r="F113" s="1"/>
  <c r="G113" s="1"/>
  <c r="E111"/>
  <c r="F111" s="1"/>
  <c r="G111" s="1"/>
  <c r="E109"/>
  <c r="F109" s="1"/>
  <c r="G109" s="1"/>
  <c r="E107"/>
  <c r="F107" s="1"/>
  <c r="G107" s="1"/>
  <c r="E105"/>
  <c r="F105" s="1"/>
  <c r="G105" s="1"/>
  <c r="E103"/>
  <c r="F103" s="1"/>
  <c r="G103" s="1"/>
  <c r="E101"/>
  <c r="F101" s="1"/>
  <c r="G101" s="1"/>
  <c r="E99"/>
  <c r="F99" s="1"/>
  <c r="G99" s="1"/>
  <c r="E97"/>
  <c r="F97" s="1"/>
  <c r="G97" s="1"/>
  <c r="E95"/>
  <c r="F95" s="1"/>
  <c r="G95" s="1"/>
  <c r="E93"/>
  <c r="F93" s="1"/>
  <c r="G93" s="1"/>
  <c r="E91"/>
  <c r="F91" s="1"/>
  <c r="G91" s="1"/>
  <c r="E89"/>
  <c r="F89" s="1"/>
  <c r="G89" s="1"/>
  <c r="E87"/>
  <c r="F87" s="1"/>
  <c r="G87" s="1"/>
  <c r="E85"/>
  <c r="F85" s="1"/>
  <c r="G85" s="1"/>
  <c r="E83"/>
  <c r="F83" s="1"/>
  <c r="G83" s="1"/>
  <c r="E81"/>
  <c r="F81" s="1"/>
  <c r="G81" s="1"/>
  <c r="E79"/>
  <c r="F79" s="1"/>
  <c r="G79" s="1"/>
  <c r="E77"/>
  <c r="F77" s="1"/>
  <c r="G77" s="1"/>
  <c r="E75"/>
  <c r="F75" s="1"/>
  <c r="G75" s="1"/>
  <c r="E73"/>
  <c r="F73" s="1"/>
  <c r="G73" s="1"/>
  <c r="E71"/>
  <c r="F71" s="1"/>
  <c r="G71" s="1"/>
  <c r="E69"/>
  <c r="F69" s="1"/>
  <c r="G69" s="1"/>
  <c r="E67"/>
  <c r="F67" s="1"/>
  <c r="G67" s="1"/>
  <c r="E65"/>
  <c r="F65" s="1"/>
  <c r="G65" s="1"/>
  <c r="E63"/>
  <c r="F63" s="1"/>
  <c r="G63" s="1"/>
  <c r="E61"/>
  <c r="F61" s="1"/>
  <c r="G61" s="1"/>
  <c r="E59"/>
  <c r="F59" s="1"/>
  <c r="G59" s="1"/>
  <c r="E57"/>
  <c r="F57" s="1"/>
  <c r="G57" s="1"/>
  <c r="E55"/>
  <c r="F55" s="1"/>
  <c r="G55" s="1"/>
  <c r="E53"/>
  <c r="F53" s="1"/>
  <c r="G53" s="1"/>
  <c r="E51"/>
  <c r="F51" s="1"/>
  <c r="G51" s="1"/>
  <c r="E49"/>
  <c r="F49" s="1"/>
  <c r="G49" s="1"/>
  <c r="E47"/>
  <c r="F47" s="1"/>
  <c r="G47" s="1"/>
  <c r="E45"/>
  <c r="F45" s="1"/>
  <c r="G45" s="1"/>
  <c r="E43"/>
  <c r="F43" s="1"/>
  <c r="G43" s="1"/>
  <c r="E41"/>
  <c r="F41" s="1"/>
  <c r="G41" s="1"/>
  <c r="E39"/>
  <c r="F39" s="1"/>
  <c r="G39" s="1"/>
  <c r="E37"/>
  <c r="F37" s="1"/>
  <c r="G37" s="1"/>
  <c r="E35"/>
  <c r="F35" s="1"/>
  <c r="G35" s="1"/>
  <c r="E33"/>
  <c r="F33" s="1"/>
  <c r="G33" s="1"/>
  <c r="E31"/>
  <c r="F31" s="1"/>
  <c r="G31" s="1"/>
  <c r="E29"/>
  <c r="F29" s="1"/>
  <c r="G29" s="1"/>
  <c r="E27"/>
  <c r="F27" s="1"/>
  <c r="G27" s="1"/>
  <c r="E25"/>
  <c r="F25" s="1"/>
  <c r="G25" s="1"/>
  <c r="E23"/>
  <c r="F23" s="1"/>
  <c r="G23" s="1"/>
  <c r="E21"/>
  <c r="F21" s="1"/>
  <c r="G21" s="1"/>
  <c r="E19"/>
  <c r="F19" s="1"/>
  <c r="G19" s="1"/>
  <c r="E17"/>
  <c r="F17" s="1"/>
  <c r="G17" s="1"/>
  <c r="E15"/>
  <c r="F15" s="1"/>
  <c r="G15" s="1"/>
  <c r="E13"/>
  <c r="F13" s="1"/>
  <c r="G13" s="1"/>
  <c r="E11"/>
  <c r="F11" s="1"/>
  <c r="G11" s="1"/>
  <c r="E9"/>
  <c r="F9" s="1"/>
  <c r="G9" s="1"/>
  <c r="E7"/>
  <c r="F7" s="1"/>
  <c r="G7" s="1"/>
  <c r="E5"/>
  <c r="F5" s="1"/>
  <c r="G5" s="1"/>
  <c r="F158"/>
  <c r="G158" s="1"/>
  <c r="F156"/>
  <c r="G156" s="1"/>
  <c r="F154"/>
  <c r="G154" s="1"/>
  <c r="F152"/>
  <c r="G152" s="1"/>
  <c r="F150"/>
  <c r="G150" s="1"/>
  <c r="F148"/>
  <c r="G148" s="1"/>
  <c r="F146"/>
  <c r="G146" s="1"/>
  <c r="F144"/>
  <c r="G144" s="1"/>
  <c r="F142"/>
  <c r="G142" s="1"/>
  <c r="F140"/>
  <c r="G140" s="1"/>
  <c r="F138"/>
  <c r="G138" s="1"/>
  <c r="F136"/>
  <c r="G136" s="1"/>
  <c r="F134"/>
  <c r="G134" s="1"/>
  <c r="F132"/>
  <c r="G132" s="1"/>
  <c r="F130"/>
  <c r="G130" s="1"/>
  <c r="F128"/>
  <c r="G128" s="1"/>
  <c r="F126"/>
  <c r="G126" s="1"/>
  <c r="F124"/>
  <c r="G124" s="1"/>
  <c r="F122"/>
  <c r="G122" s="1"/>
  <c r="F120"/>
  <c r="G120" s="1"/>
  <c r="F118"/>
  <c r="G118" s="1"/>
  <c r="F116"/>
  <c r="G116" s="1"/>
  <c r="F114"/>
  <c r="G114" s="1"/>
  <c r="F112"/>
  <c r="G112" s="1"/>
  <c r="F110"/>
  <c r="G110" s="1"/>
  <c r="F108"/>
  <c r="G108" s="1"/>
  <c r="F106"/>
  <c r="G106" s="1"/>
  <c r="F104"/>
  <c r="G104" s="1"/>
  <c r="F102"/>
  <c r="G102" s="1"/>
  <c r="F100"/>
  <c r="G100" s="1"/>
  <c r="F98"/>
  <c r="G98" s="1"/>
  <c r="F96"/>
  <c r="G96" s="1"/>
  <c r="F94"/>
  <c r="G94" s="1"/>
  <c r="F92"/>
  <c r="G92" s="1"/>
  <c r="F90"/>
  <c r="G90" s="1"/>
  <c r="F88"/>
  <c r="G88" s="1"/>
  <c r="F86"/>
  <c r="G86" s="1"/>
  <c r="F84"/>
  <c r="G84" s="1"/>
  <c r="F82"/>
  <c r="G82" s="1"/>
  <c r="F80"/>
  <c r="G80" s="1"/>
  <c r="F78"/>
  <c r="G78" s="1"/>
  <c r="F76"/>
  <c r="G76" s="1"/>
  <c r="F74"/>
  <c r="G74" s="1"/>
  <c r="F72"/>
  <c r="G72" s="1"/>
  <c r="F70"/>
  <c r="G70" s="1"/>
  <c r="F68"/>
  <c r="G68" s="1"/>
  <c r="F66"/>
  <c r="G66" s="1"/>
  <c r="F64"/>
  <c r="G64" s="1"/>
  <c r="F62"/>
  <c r="G62" s="1"/>
  <c r="F60"/>
  <c r="G60" s="1"/>
  <c r="F58"/>
  <c r="G58" s="1"/>
  <c r="F56"/>
  <c r="G56" s="1"/>
  <c r="F54"/>
  <c r="G54" s="1"/>
  <c r="F52"/>
  <c r="G52" s="1"/>
  <c r="F50"/>
  <c r="G50" s="1"/>
  <c r="F48"/>
  <c r="G48" s="1"/>
  <c r="F46"/>
  <c r="G46" s="1"/>
  <c r="F44"/>
  <c r="G44" s="1"/>
  <c r="F42"/>
  <c r="G42" s="1"/>
  <c r="F40"/>
  <c r="G40" s="1"/>
  <c r="F38"/>
  <c r="G38" s="1"/>
  <c r="F36"/>
  <c r="G36" s="1"/>
  <c r="F34"/>
  <c r="G34" s="1"/>
  <c r="F32"/>
  <c r="G32" s="1"/>
  <c r="F30"/>
  <c r="G30" s="1"/>
  <c r="F28"/>
  <c r="G28" s="1"/>
  <c r="F26"/>
  <c r="G26" s="1"/>
  <c r="F24"/>
  <c r="G24" s="1"/>
  <c r="F22"/>
  <c r="G22" s="1"/>
  <c r="F20"/>
  <c r="G20" s="1"/>
  <c r="F18"/>
  <c r="G18" s="1"/>
  <c r="F16"/>
  <c r="G16" s="1"/>
  <c r="F14"/>
  <c r="G14" s="1"/>
  <c r="F12"/>
  <c r="G12" s="1"/>
  <c r="F10"/>
  <c r="G10" s="1"/>
  <c r="F8"/>
  <c r="G8" s="1"/>
  <c r="F6"/>
  <c r="G6" s="1"/>
  <c r="G8" i="1" a="1"/>
  <c r="G8" s="1"/>
  <c r="Y16"/>
  <c r="Y14"/>
  <c r="Q12" a="1"/>
  <c r="Q12" s="1"/>
  <c r="R12" s="1"/>
  <c r="Y17"/>
  <c r="Y15"/>
  <c r="D21" i="8"/>
  <c r="D19"/>
  <c r="D17"/>
  <c r="D15"/>
  <c r="D13"/>
  <c r="D11"/>
  <c r="D9"/>
  <c r="D7"/>
  <c r="D5"/>
  <c r="D3"/>
  <c r="F21"/>
  <c r="F19"/>
  <c r="F17"/>
  <c r="F15"/>
  <c r="F13"/>
  <c r="F11"/>
  <c r="F9"/>
  <c r="F7"/>
  <c r="F5"/>
  <c r="F3"/>
  <c r="H20"/>
  <c r="H18"/>
  <c r="H16"/>
  <c r="H14"/>
  <c r="H12"/>
  <c r="H10"/>
  <c r="H8"/>
  <c r="H6"/>
  <c r="H4"/>
  <c r="D2"/>
  <c r="D20"/>
  <c r="D18"/>
  <c r="D16"/>
  <c r="D14"/>
  <c r="D12"/>
  <c r="D10"/>
  <c r="D8"/>
  <c r="D6"/>
  <c r="D4"/>
  <c r="F2"/>
  <c r="AA14" i="1"/>
  <c r="AA15" s="1"/>
  <c r="R75" i="6"/>
  <c r="T75"/>
  <c r="Z12" i="1"/>
  <c r="W11" i="7"/>
  <c r="X11" s="1"/>
  <c r="AC15" i="4"/>
  <c r="AC21"/>
  <c r="A55"/>
  <c r="A52"/>
  <c r="A48"/>
  <c r="A54"/>
  <c r="A47"/>
  <c r="A45"/>
  <c r="A42"/>
  <c r="A56"/>
  <c r="A53"/>
  <c r="A50"/>
  <c r="A41"/>
  <c r="A39"/>
  <c r="A36"/>
  <c r="A49"/>
  <c r="A51"/>
  <c r="A46"/>
  <c r="A43"/>
  <c r="A44"/>
  <c r="A37"/>
  <c r="R20"/>
  <c r="S20" s="1"/>
  <c r="R18"/>
  <c r="S18" s="1"/>
  <c r="R16"/>
  <c r="S16" s="1"/>
  <c r="R14"/>
  <c r="S14" s="1"/>
  <c r="R12"/>
  <c r="S12" s="1"/>
  <c r="R11"/>
  <c r="S11" s="1"/>
  <c r="R19"/>
  <c r="S19" s="1"/>
  <c r="R17"/>
  <c r="S17" s="1"/>
  <c r="R15"/>
  <c r="S15" s="1"/>
  <c r="R13"/>
  <c r="S13" s="1"/>
  <c r="H5"/>
  <c r="H23"/>
  <c r="H15"/>
  <c r="H21"/>
  <c r="H4"/>
  <c r="H22"/>
  <c r="H6"/>
  <c r="H24"/>
  <c r="H14"/>
  <c r="H11"/>
  <c r="H26"/>
  <c r="H28"/>
  <c r="H7"/>
  <c r="H19"/>
  <c r="H13"/>
  <c r="H9"/>
  <c r="H25"/>
  <c r="H20"/>
  <c r="H17"/>
  <c r="H27"/>
  <c r="H18"/>
  <c r="H16"/>
  <c r="H12"/>
  <c r="H10"/>
  <c r="H8"/>
  <c r="F27" i="1"/>
  <c r="J27" s="1"/>
  <c r="F28"/>
  <c r="J28" s="1"/>
  <c r="F29"/>
  <c r="J29" s="1"/>
  <c r="H27"/>
  <c r="F26"/>
  <c r="J26" s="1"/>
  <c r="H20"/>
  <c r="I20" s="1"/>
  <c r="H17"/>
  <c r="I17" s="1"/>
  <c r="F17"/>
  <c r="J17" s="1"/>
  <c r="I12"/>
  <c r="F22"/>
  <c r="J22" s="1"/>
  <c r="F20"/>
  <c r="J20" s="1"/>
  <c r="F18"/>
  <c r="J18" s="1"/>
  <c r="F21"/>
  <c r="J21" s="1"/>
  <c r="F19"/>
  <c r="J19" s="1"/>
  <c r="F16"/>
  <c r="J16" s="1"/>
  <c r="H16"/>
  <c r="I16" s="1"/>
  <c r="W12" l="1"/>
  <c r="X12" s="1"/>
  <c r="S12" s="1"/>
  <c r="S79" i="6"/>
  <c r="V12" i="1"/>
  <c r="Q13" s="1" a="1"/>
  <c r="Q13" s="1"/>
  <c r="Y78" i="6"/>
  <c r="U78"/>
  <c r="Q78"/>
  <c r="X87"/>
  <c r="T87"/>
  <c r="P87"/>
  <c r="X86"/>
  <c r="T86"/>
  <c r="P86"/>
  <c r="X85"/>
  <c r="T85"/>
  <c r="P85"/>
  <c r="X84"/>
  <c r="T84"/>
  <c r="P84"/>
  <c r="X83"/>
  <c r="T83"/>
  <c r="P83"/>
  <c r="X82"/>
  <c r="T82"/>
  <c r="P82"/>
  <c r="X81"/>
  <c r="T81"/>
  <c r="P81"/>
  <c r="X80"/>
  <c r="T80"/>
  <c r="P80"/>
  <c r="X79"/>
  <c r="T79"/>
  <c r="P79"/>
  <c r="Z78"/>
  <c r="V78"/>
  <c r="R78"/>
  <c r="Y87"/>
  <c r="U87"/>
  <c r="Q87"/>
  <c r="Y86"/>
  <c r="U86"/>
  <c r="Q86"/>
  <c r="Y85"/>
  <c r="U85"/>
  <c r="Q85"/>
  <c r="Y84"/>
  <c r="U84"/>
  <c r="Q84"/>
  <c r="Y83"/>
  <c r="U83"/>
  <c r="Q83"/>
  <c r="Y82"/>
  <c r="U82"/>
  <c r="Q82"/>
  <c r="Y81"/>
  <c r="U81"/>
  <c r="Q81"/>
  <c r="Y80"/>
  <c r="U80"/>
  <c r="Q80"/>
  <c r="Y79"/>
  <c r="U79"/>
  <c r="Q79"/>
  <c r="AA78"/>
  <c r="W78"/>
  <c r="S78"/>
  <c r="Z87"/>
  <c r="V87"/>
  <c r="R87"/>
  <c r="Z86"/>
  <c r="V86"/>
  <c r="R86"/>
  <c r="Z85"/>
  <c r="V85"/>
  <c r="R85"/>
  <c r="Z84"/>
  <c r="V84"/>
  <c r="R84"/>
  <c r="Z83"/>
  <c r="V83"/>
  <c r="R83"/>
  <c r="Z82"/>
  <c r="V82"/>
  <c r="R82"/>
  <c r="Z81"/>
  <c r="V81"/>
  <c r="R81"/>
  <c r="Z80"/>
  <c r="V80"/>
  <c r="R80"/>
  <c r="Z79"/>
  <c r="V79"/>
  <c r="R79"/>
  <c r="P78"/>
  <c r="X78"/>
  <c r="T78"/>
  <c r="AA87"/>
  <c r="W87"/>
  <c r="S87"/>
  <c r="AA86"/>
  <c r="W86"/>
  <c r="S86"/>
  <c r="AA85"/>
  <c r="W85"/>
  <c r="S85"/>
  <c r="AA84"/>
  <c r="W84"/>
  <c r="S84"/>
  <c r="AA83"/>
  <c r="W83"/>
  <c r="S83"/>
  <c r="AA82"/>
  <c r="W82"/>
  <c r="S82"/>
  <c r="AA81"/>
  <c r="W81"/>
  <c r="S81"/>
  <c r="AA80"/>
  <c r="W80"/>
  <c r="S80"/>
  <c r="AA79"/>
  <c r="W79"/>
  <c r="R13" i="1" l="1"/>
  <c r="AA12"/>
  <c r="Y12"/>
  <c r="Z13" l="1"/>
  <c r="W13"/>
  <c r="V13"/>
  <c r="Y13" s="1"/>
  <c r="X13"/>
  <c r="S13" s="1"/>
  <c r="AA13" l="1"/>
</calcChain>
</file>

<file path=xl/sharedStrings.xml><?xml version="1.0" encoding="utf-8"?>
<sst xmlns="http://schemas.openxmlformats.org/spreadsheetml/2006/main" count="278" uniqueCount="139">
  <si>
    <t>diameter</t>
  </si>
  <si>
    <t>lift</t>
  </si>
  <si>
    <t>MP_base</t>
  </si>
  <si>
    <t>Torque Required</t>
  </si>
  <si>
    <t>Total Turns</t>
  </si>
  <si>
    <t>Recommended</t>
  </si>
  <si>
    <t>Length Uncoiled</t>
  </si>
  <si>
    <t>Max Turns</t>
  </si>
  <si>
    <t>Baseline Stats</t>
  </si>
  <si>
    <t>Wire Index</t>
  </si>
  <si>
    <t>MP Base</t>
  </si>
  <si>
    <t>Torque</t>
  </si>
  <si>
    <t>Cycles</t>
  </si>
  <si>
    <t>cycles</t>
  </si>
  <si>
    <t>ratio</t>
  </si>
  <si>
    <t>Cycle Ratio</t>
  </si>
  <si>
    <t>Baseline Settings</t>
  </si>
  <si>
    <t>Sandbox Stats</t>
  </si>
  <si>
    <t>OD</t>
  </si>
  <si>
    <t>Stretch</t>
  </si>
  <si>
    <t>Coil Length</t>
  </si>
  <si>
    <t>od</t>
  </si>
  <si>
    <t>Coils</t>
  </si>
  <si>
    <t>avg tensile</t>
  </si>
  <si>
    <t>average tensile</t>
  </si>
  <si>
    <t>SP</t>
  </si>
  <si>
    <t>Uncoiled</t>
  </si>
  <si>
    <t>Dia</t>
  </si>
  <si>
    <t>Length Mod</t>
  </si>
  <si>
    <t>8x8</t>
  </si>
  <si>
    <t>9x9</t>
  </si>
  <si>
    <t>Sp</t>
  </si>
  <si>
    <t>10x10</t>
  </si>
  <si>
    <t>11x11</t>
  </si>
  <si>
    <t>Length</t>
  </si>
  <si>
    <t>12x12</t>
  </si>
  <si>
    <t>Sp- Spring 1</t>
  </si>
  <si>
    <t>Sp- Spring 2</t>
  </si>
  <si>
    <t>Coiled Length</t>
  </si>
  <si>
    <t>Sandbox Settings by Coiled Length</t>
  </si>
  <si>
    <t>13 x 13</t>
  </si>
  <si>
    <t>14x14</t>
  </si>
  <si>
    <t>N/A</t>
  </si>
  <si>
    <t>14x15</t>
  </si>
  <si>
    <t>min_od</t>
  </si>
  <si>
    <t>16x15</t>
  </si>
  <si>
    <t>Sandbox Settings by Uncoiled Length</t>
  </si>
  <si>
    <t>15x15</t>
  </si>
  <si>
    <t>Single</t>
  </si>
  <si>
    <t>Double</t>
  </si>
  <si>
    <t>WD</t>
  </si>
  <si>
    <t>Cost</t>
  </si>
  <si>
    <t>Cost/Foot</t>
  </si>
  <si>
    <t>Linear Foot</t>
  </si>
  <si>
    <t>Cost/Linear Foot</t>
  </si>
  <si>
    <t>Spring</t>
  </si>
  <si>
    <t>Cost/Foot-Coiled Calculator</t>
  </si>
  <si>
    <t>Tails</t>
  </si>
  <si>
    <t>Total Cost</t>
  </si>
  <si>
    <t>ID</t>
  </si>
  <si>
    <t>OD Calculator</t>
  </si>
  <si>
    <t>Volume</t>
  </si>
  <si>
    <t>Volume/Foot</t>
  </si>
  <si>
    <t>Cost/Cubic Foot</t>
  </si>
  <si>
    <t>$/Linear Foot</t>
  </si>
  <si>
    <t>$/Cubic Foot</t>
  </si>
  <si>
    <t>Norm V/F</t>
  </si>
  <si>
    <t>Not Updated</t>
  </si>
  <si>
    <t>Wire</t>
  </si>
  <si>
    <t>Lift/$</t>
  </si>
  <si>
    <t>Inventory Cost</t>
  </si>
  <si>
    <t>Diameter</t>
  </si>
  <si>
    <t>Lift @ 1 inch</t>
  </si>
  <si>
    <t>Volume/Inch</t>
  </si>
  <si>
    <t>^ This difference is because ^
Radius Squared (.3^2 = .09)?</t>
  </si>
  <si>
    <t>^                      ^ This might mean
that lift is related to volume (.09^2 = .0081)?</t>
  </si>
  <si>
    <t>Lift @ 1inch</t>
  </si>
  <si>
    <t>Volume @ 1 inch</t>
  </si>
  <si>
    <t>Lift/Volume</t>
  </si>
  <si>
    <r>
      <t>9E+06x</t>
    </r>
    <r>
      <rPr>
        <b/>
        <vertAlign val="superscript"/>
        <sz val="11"/>
        <color theme="1"/>
        <rFont val="Calibri"/>
        <family val="2"/>
        <scheme val="minor"/>
      </rPr>
      <t>3.9999</t>
    </r>
  </si>
  <si>
    <r>
      <t>1E+07x</t>
    </r>
    <r>
      <rPr>
        <b/>
        <vertAlign val="superscript"/>
        <sz val="11"/>
        <color theme="1"/>
        <rFont val="Calibri"/>
        <family val="2"/>
        <scheme val="minor"/>
      </rPr>
      <t>1.9999</t>
    </r>
  </si>
  <si>
    <t>This pair follows the same rules noted above</t>
  </si>
  <si>
    <t>Uncoiled Length</t>
  </si>
  <si>
    <t>Full Max Turns</t>
  </si>
  <si>
    <t>max</t>
  </si>
  <si>
    <t>min</t>
  </si>
  <si>
    <t>-----</t>
  </si>
  <si>
    <t>4 Pipe</t>
  </si>
  <si>
    <t>$/Ft</t>
  </si>
  <si>
    <t>6 Pipe</t>
  </si>
  <si>
    <t>1-1/4 Round</t>
  </si>
  <si>
    <t>1-1/2 Round</t>
  </si>
  <si>
    <t>Suggestion</t>
  </si>
  <si>
    <t>Single Spring Calculator</t>
  </si>
  <si>
    <t>SS Recommend</t>
  </si>
  <si>
    <t>Wire Diameter</t>
  </si>
  <si>
    <t>Spring Settings</t>
  </si>
  <si>
    <t>Spring Costs Calculator</t>
  </si>
  <si>
    <t>Spring1</t>
  </si>
  <si>
    <t>Spring2</t>
  </si>
  <si>
    <t>Spring3</t>
  </si>
  <si>
    <t>Spring4</t>
  </si>
  <si>
    <t>Spring5</t>
  </si>
  <si>
    <t>Spring6</t>
  </si>
  <si>
    <t>Uncoil Len.</t>
  </si>
  <si>
    <t>Approx. Cost</t>
  </si>
  <si>
    <t>Total</t>
  </si>
  <si>
    <t>Pipe Size</t>
  </si>
  <si>
    <t>pipesize</t>
  </si>
  <si>
    <t>Spring Stats</t>
  </si>
  <si>
    <t>AutoLinked</t>
  </si>
  <si>
    <t>Less Torque</t>
  </si>
  <si>
    <t>900000*radius^4</t>
  </si>
  <si>
    <t>1000000*(r^2*pi)^2</t>
  </si>
  <si>
    <t>x^4</t>
  </si>
  <si>
    <t>x^2*x^2</t>
  </si>
  <si>
    <t>(x^2)^2</t>
  </si>
  <si>
    <t>(Volume/Inch)^2 * 1000000</t>
  </si>
  <si>
    <t>Coil Distance</t>
  </si>
  <si>
    <t>Length @ 1000</t>
  </si>
  <si>
    <t>Length @ 500</t>
  </si>
  <si>
    <t>Lift @ 500</t>
  </si>
  <si>
    <t>Lift @ 1000</t>
  </si>
  <si>
    <t>Length @ 2000</t>
  </si>
  <si>
    <t>Lift @ 2000</t>
  </si>
  <si>
    <t>Outer</t>
  </si>
  <si>
    <t>Outer Length</t>
  </si>
  <si>
    <t xml:space="preserve">Inner </t>
  </si>
  <si>
    <t>Inner length</t>
  </si>
  <si>
    <t>Proportion</t>
  </si>
  <si>
    <t>Volume3</t>
  </si>
  <si>
    <t>Turns</t>
  </si>
  <si>
    <t>MP @ 12500</t>
  </si>
  <si>
    <t>MT @ 100</t>
  </si>
  <si>
    <t>Torque 100</t>
  </si>
  <si>
    <t>NC</t>
  </si>
  <si>
    <t>L</t>
  </si>
  <si>
    <t>New MD</t>
  </si>
  <si>
    <t>New ID</t>
  </si>
</sst>
</file>

<file path=xl/styles.xml><?xml version="1.0" encoding="utf-8"?>
<styleSheet xmlns="http://schemas.openxmlformats.org/spreadsheetml/2006/main">
  <numFmts count="2">
    <numFmt numFmtId="164" formatCode="0.000000000000"/>
    <numFmt numFmtId="165" formatCode="&quot;$&quot;#,##0.00"/>
  </numFmts>
  <fonts count="1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7C5D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/>
      <diagonal/>
    </border>
    <border>
      <left style="thin">
        <color rgb="FFAAAAAA"/>
      </left>
      <right style="thin">
        <color rgb="FFAAAAAA"/>
      </right>
      <top/>
      <bottom/>
      <diagonal/>
    </border>
    <border>
      <left style="thin">
        <color rgb="FFAAAAAA"/>
      </left>
      <right style="thin">
        <color rgb="FFAAAAAA"/>
      </right>
      <top/>
      <bottom style="thin">
        <color rgb="FFAAAAAA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/>
      <diagonal/>
    </border>
    <border>
      <left style="thin">
        <color rgb="FF7F7F7F"/>
      </left>
      <right style="thin">
        <color rgb="FF7F7F7F"/>
      </right>
      <top style="medium">
        <color rgb="FF7F7F7F"/>
      </top>
      <bottom/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/>
      <diagonal/>
    </border>
    <border>
      <left style="medium">
        <color rgb="FF7F7F7F"/>
      </left>
      <right style="thin">
        <color rgb="FF7F7F7F"/>
      </right>
      <top/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/>
      <bottom style="medium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7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3" fillId="3" borderId="0" xfId="0" applyFont="1" applyFill="1"/>
    <xf numFmtId="0" fontId="1" fillId="2" borderId="2" xfId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0" fillId="3" borderId="0" xfId="0" applyFill="1"/>
    <xf numFmtId="164" fontId="0" fillId="5" borderId="3" xfId="0" applyNumberFormat="1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3" borderId="0" xfId="0" applyFill="1" applyBorder="1"/>
    <xf numFmtId="0" fontId="0" fillId="0" borderId="0" xfId="0" quotePrefix="1"/>
    <xf numFmtId="2" fontId="0" fillId="0" borderId="0" xfId="0" applyNumberFormat="1"/>
    <xf numFmtId="10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5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0" fontId="0" fillId="0" borderId="0" xfId="0" applyFill="1" applyBorder="1"/>
    <xf numFmtId="0" fontId="5" fillId="0" borderId="0" xfId="0" applyFont="1" applyBorder="1"/>
    <xf numFmtId="0" fontId="3" fillId="0" borderId="0" xfId="0" applyFont="1" applyBorder="1" applyAlignme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2" borderId="1" xfId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1" fillId="2" borderId="18" xfId="1" applyBorder="1"/>
    <xf numFmtId="0" fontId="1" fillId="2" borderId="19" xfId="1" applyBorder="1"/>
    <xf numFmtId="0" fontId="1" fillId="2" borderId="20" xfId="1" applyBorder="1"/>
    <xf numFmtId="165" fontId="0" fillId="0" borderId="0" xfId="0" applyNumberFormat="1"/>
    <xf numFmtId="0" fontId="8" fillId="0" borderId="0" xfId="0" applyFont="1"/>
    <xf numFmtId="0" fontId="0" fillId="4" borderId="21" xfId="0" applyFill="1" applyBorder="1"/>
    <xf numFmtId="0" fontId="5" fillId="0" borderId="0" xfId="0" applyFont="1" applyFill="1" applyBorder="1" applyAlignment="1">
      <alignment horizontal="center"/>
    </xf>
    <xf numFmtId="0" fontId="0" fillId="3" borderId="23" xfId="0" applyFill="1" applyBorder="1"/>
    <xf numFmtId="0" fontId="0" fillId="3" borderId="24" xfId="0" applyFill="1" applyBorder="1"/>
    <xf numFmtId="0" fontId="0" fillId="3" borderId="22" xfId="0" applyFont="1" applyFill="1" applyBorder="1" applyAlignment="1"/>
    <xf numFmtId="0" fontId="2" fillId="0" borderId="0" xfId="0" applyFont="1" applyBorder="1" applyAlignment="1"/>
    <xf numFmtId="0" fontId="7" fillId="0" borderId="0" xfId="0" applyFont="1" applyBorder="1" applyAlignment="1"/>
    <xf numFmtId="0" fontId="7" fillId="0" borderId="11" xfId="0" applyFont="1" applyBorder="1" applyAlignment="1"/>
    <xf numFmtId="0" fontId="0" fillId="3" borderId="25" xfId="0" applyFill="1" applyBorder="1"/>
    <xf numFmtId="0" fontId="0" fillId="3" borderId="26" xfId="0" applyFill="1" applyBorder="1"/>
    <xf numFmtId="0" fontId="0" fillId="4" borderId="27" xfId="0" applyFill="1" applyBorder="1"/>
    <xf numFmtId="0" fontId="1" fillId="2" borderId="28" xfId="1" applyBorder="1"/>
    <xf numFmtId="0" fontId="0" fillId="4" borderId="29" xfId="0" applyFill="1" applyBorder="1"/>
    <xf numFmtId="0" fontId="0" fillId="4" borderId="30" xfId="0" applyFill="1" applyBorder="1"/>
    <xf numFmtId="0" fontId="1" fillId="2" borderId="31" xfId="1" applyBorder="1"/>
    <xf numFmtId="0" fontId="0" fillId="4" borderId="32" xfId="0" applyFill="1" applyBorder="1"/>
    <xf numFmtId="0" fontId="9" fillId="0" borderId="0" xfId="0" applyFont="1"/>
    <xf numFmtId="0" fontId="1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quotePrefix="1" applyAlignment="1">
      <alignment horizontal="center" wrapText="1"/>
    </xf>
    <xf numFmtId="0" fontId="0" fillId="0" borderId="0" xfId="0" applyAlignment="1">
      <alignment horizontal="center"/>
    </xf>
  </cellXfs>
  <cellStyles count="2">
    <cellStyle name="Input" xfId="1" builtinId="20"/>
    <cellStyle name="Normal" xfId="0" builtinId="0"/>
  </cellStyles>
  <dxfs count="5">
    <dxf>
      <fill>
        <patternFill>
          <bgColor rgb="FFFF8D8D"/>
        </patternFill>
      </fill>
    </dxf>
    <dxf>
      <font>
        <color auto="1"/>
      </font>
      <fill>
        <patternFill>
          <bgColor rgb="FFFF8D8D"/>
        </patternFill>
      </fill>
    </dxf>
    <dxf>
      <fill>
        <patternFill>
          <bgColor rgb="FFFF6565"/>
        </patternFill>
      </fill>
    </dxf>
    <dxf>
      <fill>
        <patternFill>
          <bgColor rgb="FFFF6565"/>
        </patternFill>
      </fill>
    </dxf>
    <dxf>
      <numFmt numFmtId="0" formatCode="General"/>
    </dxf>
  </dxfs>
  <tableStyles count="0" defaultTableStyle="TableStyleMedium9" defaultPivotStyle="PivotStyleLight16"/>
  <colors>
    <mruColors>
      <color rgb="FFFF7C5D"/>
      <color rgb="FFAAAAAA"/>
      <color rgb="FFFFFF99"/>
      <color rgb="FFFF8D8D"/>
      <color rgb="FFFF4747"/>
      <color rgb="FFFF6565"/>
      <color rgb="FF7F7F7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'Costs Calculations'!$E$30</c:f>
              <c:strCache>
                <c:ptCount val="1"/>
                <c:pt idx="0">
                  <c:v>$/Linear Foot</c:v>
                </c:pt>
              </c:strCache>
            </c:strRef>
          </c:tx>
          <c:xVal>
            <c:strRef>
              <c:f>'Costs Calculations'!$D$31:$D$56</c:f>
              <c:strCache>
                <c:ptCount val="18"/>
                <c:pt idx="0">
                  <c:v>0.2187 WD X 2.5 OD</c:v>
                </c:pt>
                <c:pt idx="1">
                  <c:v>0.283 WD X 2.75 OD</c:v>
                </c:pt>
                <c:pt idx="2">
                  <c:v>0.3125 WD X 3.5 OD</c:v>
                </c:pt>
                <c:pt idx="3">
                  <c:v>0.375 WD X 4.5 OD</c:v>
                </c:pt>
                <c:pt idx="4">
                  <c:v>0.3938 WD X 3.625 OD</c:v>
                </c:pt>
                <c:pt idx="5">
                  <c:v>0.3938 WD X 4.25 OD</c:v>
                </c:pt>
                <c:pt idx="6">
                  <c:v>0.406 WD X 3.75 OD</c:v>
                </c:pt>
                <c:pt idx="7">
                  <c:v>0.4218 WD X 3.7186 OD</c:v>
                </c:pt>
                <c:pt idx="8">
                  <c:v>0.43 WD X 3.75 OD</c:v>
                </c:pt>
                <c:pt idx="9">
                  <c:v>0.453 WD X 5.75 OD</c:v>
                </c:pt>
                <c:pt idx="10">
                  <c:v>0.468 WD X 5.875 OD</c:v>
                </c:pt>
                <c:pt idx="11">
                  <c:v>0.46875 WD X 3.75 OD</c:v>
                </c:pt>
                <c:pt idx="12">
                  <c:v>0.49 WD X 3.825 OD</c:v>
                </c:pt>
                <c:pt idx="13">
                  <c:v>0.531 WD X 5.625 OD</c:v>
                </c:pt>
                <c:pt idx="14">
                  <c:v>0.56 WD X 7.390625 OD</c:v>
                </c:pt>
                <c:pt idx="15">
                  <c:v>0.562 WD X 7.375 OD</c:v>
                </c:pt>
                <c:pt idx="16">
                  <c:v>0.625 WD X 7.375 OD</c:v>
                </c:pt>
                <c:pt idx="17">
                  <c:v>0.625 WD X 7.5 OD</c:v>
                </c:pt>
              </c:strCache>
            </c:strRef>
          </c:xVal>
          <c:yVal>
            <c:numRef>
              <c:f>'Costs Calculations'!$E$31:$E$56</c:f>
              <c:numCache>
                <c:formatCode>General</c:formatCode>
                <c:ptCount val="18"/>
                <c:pt idx="0">
                  <c:v>1.7579102995817171E-2</c:v>
                </c:pt>
                <c:pt idx="1">
                  <c:v>3.6621871836328319E-2</c:v>
                </c:pt>
                <c:pt idx="2">
                  <c:v>3.2670992593418123E-2</c:v>
                </c:pt>
                <c:pt idx="3">
                  <c:v>4.5104990580870842E-2</c:v>
                </c:pt>
                <c:pt idx="4">
                  <c:v>5.6010816179049502E-2</c:v>
                </c:pt>
                <c:pt idx="5">
                  <c:v>5.760697592104394E-2</c:v>
                </c:pt>
                <c:pt idx="6">
                  <c:v>5.7805746044620646E-2</c:v>
                </c:pt>
                <c:pt idx="7">
                  <c:v>4.9560897638357061E-2</c:v>
                </c:pt>
                <c:pt idx="8">
                  <c:v>7.6824461485097389E-2</c:v>
                </c:pt>
                <c:pt idx="9">
                  <c:v>8.3704302833539967E-2</c:v>
                </c:pt>
                <c:pt idx="10">
                  <c:v>9.0460043263755313E-2</c:v>
                </c:pt>
                <c:pt idx="11">
                  <c:v>8.9910195352673486E-2</c:v>
                </c:pt>
                <c:pt idx="12">
                  <c:v>9.988588542600553E-2</c:v>
                </c:pt>
                <c:pt idx="13">
                  <c:v>0.1005952281761525</c:v>
                </c:pt>
                <c:pt idx="14">
                  <c:v>0.13724345834648555</c:v>
                </c:pt>
                <c:pt idx="15">
                  <c:v>8.3781575820460683E-2</c:v>
                </c:pt>
                <c:pt idx="16">
                  <c:v>0.1377055372733193</c:v>
                </c:pt>
                <c:pt idx="17">
                  <c:v>0.11975060160115426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'Costs Calculations'!$F$30</c:f>
              <c:strCache>
                <c:ptCount val="1"/>
                <c:pt idx="0">
                  <c:v>$/Cubic Foot</c:v>
                </c:pt>
              </c:strCache>
            </c:strRef>
          </c:tx>
          <c:trendline>
            <c:spPr>
              <a:ln w="28575">
                <a:solidFill>
                  <a:srgbClr val="FF7C5D"/>
                </a:solidFill>
              </a:ln>
            </c:spPr>
            <c:trendlineType val="linear"/>
          </c:trendline>
          <c:xVal>
            <c:strRef>
              <c:f>'Costs Calculations'!$D$31:$D$56</c:f>
              <c:strCache>
                <c:ptCount val="18"/>
                <c:pt idx="0">
                  <c:v>0.2187 WD X 2.5 OD</c:v>
                </c:pt>
                <c:pt idx="1">
                  <c:v>0.283 WD X 2.75 OD</c:v>
                </c:pt>
                <c:pt idx="2">
                  <c:v>0.3125 WD X 3.5 OD</c:v>
                </c:pt>
                <c:pt idx="3">
                  <c:v>0.375 WD X 4.5 OD</c:v>
                </c:pt>
                <c:pt idx="4">
                  <c:v>0.3938 WD X 3.625 OD</c:v>
                </c:pt>
                <c:pt idx="5">
                  <c:v>0.3938 WD X 4.25 OD</c:v>
                </c:pt>
                <c:pt idx="6">
                  <c:v>0.406 WD X 3.75 OD</c:v>
                </c:pt>
                <c:pt idx="7">
                  <c:v>0.4218 WD X 3.7186 OD</c:v>
                </c:pt>
                <c:pt idx="8">
                  <c:v>0.43 WD X 3.75 OD</c:v>
                </c:pt>
                <c:pt idx="9">
                  <c:v>0.453 WD X 5.75 OD</c:v>
                </c:pt>
                <c:pt idx="10">
                  <c:v>0.468 WD X 5.875 OD</c:v>
                </c:pt>
                <c:pt idx="11">
                  <c:v>0.46875 WD X 3.75 OD</c:v>
                </c:pt>
                <c:pt idx="12">
                  <c:v>0.49 WD X 3.825 OD</c:v>
                </c:pt>
                <c:pt idx="13">
                  <c:v>0.531 WD X 5.625 OD</c:v>
                </c:pt>
                <c:pt idx="14">
                  <c:v>0.56 WD X 7.390625 OD</c:v>
                </c:pt>
                <c:pt idx="15">
                  <c:v>0.562 WD X 7.375 OD</c:v>
                </c:pt>
                <c:pt idx="16">
                  <c:v>0.625 WD X 7.375 OD</c:v>
                </c:pt>
                <c:pt idx="17">
                  <c:v>0.625 WD X 7.5 OD</c:v>
                </c:pt>
              </c:strCache>
            </c:strRef>
          </c:xVal>
          <c:yVal>
            <c:numRef>
              <c:f>'Costs Calculations'!$F$31:$F$56</c:f>
              <c:numCache>
                <c:formatCode>General</c:formatCode>
                <c:ptCount val="18"/>
                <c:pt idx="0">
                  <c:v>3.8996714340762663E-2</c:v>
                </c:pt>
                <c:pt idx="1">
                  <c:v>4.851729058114114E-2</c:v>
                </c:pt>
                <c:pt idx="2">
                  <c:v>3.5496959774455099E-2</c:v>
                </c:pt>
                <c:pt idx="3">
                  <c:v>3.4032271213316617E-2</c:v>
                </c:pt>
                <c:pt idx="4">
                  <c:v>3.8322104441714501E-2</c:v>
                </c:pt>
                <c:pt idx="5">
                  <c:v>3.9414182802844519E-2</c:v>
                </c:pt>
                <c:pt idx="6">
                  <c:v>3.7208984372815619E-2</c:v>
                </c:pt>
                <c:pt idx="7">
                  <c:v>2.9556627988383561E-2</c:v>
                </c:pt>
                <c:pt idx="8">
                  <c:v>4.4085065064814064E-2</c:v>
                </c:pt>
                <c:pt idx="9">
                  <c:v>4.3279302415322352E-2</c:v>
                </c:pt>
                <c:pt idx="10">
                  <c:v>4.3822177897500925E-2</c:v>
                </c:pt>
                <c:pt idx="11">
                  <c:v>4.3416544217272895E-2</c:v>
                </c:pt>
                <c:pt idx="12">
                  <c:v>4.4140864669330808E-2</c:v>
                </c:pt>
                <c:pt idx="13">
                  <c:v>3.7854473528116252E-2</c:v>
                </c:pt>
                <c:pt idx="14">
                  <c:v>4.6434895414264057E-2</c:v>
                </c:pt>
                <c:pt idx="15">
                  <c:v>2.8145227669049134E-2</c:v>
                </c:pt>
                <c:pt idx="16">
                  <c:v>3.740418892488364E-2</c:v>
                </c:pt>
                <c:pt idx="17">
                  <c:v>3.2527189645741972E-2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'Costs Calculations'!$G$30</c:f>
              <c:strCache>
                <c:ptCount val="1"/>
                <c:pt idx="0">
                  <c:v>Norm V/F</c:v>
                </c:pt>
              </c:strCache>
            </c:strRef>
          </c:tx>
          <c:xVal>
            <c:strRef>
              <c:f>'Costs Calculations'!$D$31:$D$56</c:f>
              <c:strCache>
                <c:ptCount val="18"/>
                <c:pt idx="0">
                  <c:v>0.2187 WD X 2.5 OD</c:v>
                </c:pt>
                <c:pt idx="1">
                  <c:v>0.283 WD X 2.75 OD</c:v>
                </c:pt>
                <c:pt idx="2">
                  <c:v>0.3125 WD X 3.5 OD</c:v>
                </c:pt>
                <c:pt idx="3">
                  <c:v>0.375 WD X 4.5 OD</c:v>
                </c:pt>
                <c:pt idx="4">
                  <c:v>0.3938 WD X 3.625 OD</c:v>
                </c:pt>
                <c:pt idx="5">
                  <c:v>0.3938 WD X 4.25 OD</c:v>
                </c:pt>
                <c:pt idx="6">
                  <c:v>0.406 WD X 3.75 OD</c:v>
                </c:pt>
                <c:pt idx="7">
                  <c:v>0.4218 WD X 3.7186 OD</c:v>
                </c:pt>
                <c:pt idx="8">
                  <c:v>0.43 WD X 3.75 OD</c:v>
                </c:pt>
                <c:pt idx="9">
                  <c:v>0.453 WD X 5.75 OD</c:v>
                </c:pt>
                <c:pt idx="10">
                  <c:v>0.468 WD X 5.875 OD</c:v>
                </c:pt>
                <c:pt idx="11">
                  <c:v>0.46875 WD X 3.75 OD</c:v>
                </c:pt>
                <c:pt idx="12">
                  <c:v>0.49 WD X 3.825 OD</c:v>
                </c:pt>
                <c:pt idx="13">
                  <c:v>0.531 WD X 5.625 OD</c:v>
                </c:pt>
                <c:pt idx="14">
                  <c:v>0.56 WD X 7.390625 OD</c:v>
                </c:pt>
                <c:pt idx="15">
                  <c:v>0.562 WD X 7.375 OD</c:v>
                </c:pt>
                <c:pt idx="16">
                  <c:v>0.625 WD X 7.375 OD</c:v>
                </c:pt>
                <c:pt idx="17">
                  <c:v>0.625 WD X 7.5 OD</c:v>
                </c:pt>
              </c:strCache>
            </c:strRef>
          </c:xVal>
          <c:yVal>
            <c:numRef>
              <c:f>'Costs Calculations'!$G$31:$G$56</c:f>
              <c:numCache>
                <c:formatCode>General</c:formatCode>
                <c:ptCount val="18"/>
                <c:pt idx="0">
                  <c:v>1.3578569228123538E-2</c:v>
                </c:pt>
                <c:pt idx="1">
                  <c:v>2.5259739374617264E-2</c:v>
                </c:pt>
                <c:pt idx="2">
                  <c:v>3.1620880894878925E-2</c:v>
                </c:pt>
                <c:pt idx="3">
                  <c:v>4.7179963830383517E-2</c:v>
                </c:pt>
                <c:pt idx="4">
                  <c:v>5.2413587607275783E-2</c:v>
                </c:pt>
                <c:pt idx="5">
                  <c:v>5.2413587607275783E-2</c:v>
                </c:pt>
                <c:pt idx="6">
                  <c:v>5.5946822464891195E-2</c:v>
                </c:pt>
                <c:pt idx="7">
                  <c:v>6.0682845269682338E-2</c:v>
                </c:pt>
                <c:pt idx="8">
                  <c:v>6.3212042887127437E-2</c:v>
                </c:pt>
                <c:pt idx="9">
                  <c:v>7.0565978371337795E-2</c:v>
                </c:pt>
                <c:pt idx="10">
                  <c:v>7.556842155979443E-2</c:v>
                </c:pt>
                <c:pt idx="11">
                  <c:v>7.5822821052562439E-2</c:v>
                </c:pt>
                <c:pt idx="12">
                  <c:v>8.3200089503327662E-2</c:v>
                </c:pt>
                <c:pt idx="13">
                  <c:v>9.8358053622906616E-2</c:v>
                </c:pt>
                <c:pt idx="14">
                  <c:v>0.10981460809555081</c:v>
                </c:pt>
                <c:pt idx="15">
                  <c:v>0.11062716564277461</c:v>
                </c:pt>
                <c:pt idx="16">
                  <c:v>0.1377055372733193</c:v>
                </c:pt>
                <c:pt idx="17">
                  <c:v>0.1377055372733193</c:v>
                </c:pt>
              </c:numCache>
            </c:numRef>
          </c:yVal>
          <c:smooth val="1"/>
        </c:ser>
        <c:axId val="43577344"/>
        <c:axId val="43578880"/>
      </c:scatterChart>
      <c:valAx>
        <c:axId val="43577344"/>
        <c:scaling>
          <c:orientation val="minMax"/>
        </c:scaling>
        <c:axPos val="b"/>
        <c:tickLblPos val="nextTo"/>
        <c:crossAx val="43578880"/>
        <c:crosses val="autoZero"/>
        <c:crossBetween val="midCat"/>
      </c:valAx>
      <c:valAx>
        <c:axId val="43578880"/>
        <c:scaling>
          <c:orientation val="minMax"/>
        </c:scaling>
        <c:axPos val="l"/>
        <c:majorGridlines/>
        <c:numFmt formatCode="General" sourceLinked="1"/>
        <c:tickLblPos val="nextTo"/>
        <c:crossAx val="435773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rendline>
            <c:trendlineType val="power"/>
            <c:dispEq val="1"/>
            <c:trendlineLbl>
              <c:layout>
                <c:manualLayout>
                  <c:x val="-4.3772469028881896E-4"/>
                  <c:y val="3.2879119276757136E-2"/>
                </c:manualLayout>
              </c:layout>
              <c:numFmt formatCode="General" sourceLinked="0"/>
            </c:trendlineLbl>
          </c:trendline>
          <c:xVal>
            <c:numRef>
              <c:f>Sheet3!$A$4:$A$13</c:f>
              <c:numCache>
                <c:formatCode>General</c:formatCode>
                <c:ptCount val="10"/>
                <c:pt idx="0">
                  <c:v>0.1875</c:v>
                </c:pt>
                <c:pt idx="1">
                  <c:v>0.25</c:v>
                </c:pt>
                <c:pt idx="2">
                  <c:v>0.3125</c:v>
                </c:pt>
                <c:pt idx="3">
                  <c:v>0.375</c:v>
                </c:pt>
                <c:pt idx="4">
                  <c:v>0.40625</c:v>
                </c:pt>
                <c:pt idx="5">
                  <c:v>0.4375</c:v>
                </c:pt>
                <c:pt idx="6">
                  <c:v>0.46875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</c:numCache>
            </c:numRef>
          </c:xVal>
          <c:yVal>
            <c:numRef>
              <c:f>Sheet3!$B$4:$B$13</c:f>
              <c:numCache>
                <c:formatCode>General</c:formatCode>
                <c:ptCount val="10"/>
                <c:pt idx="0">
                  <c:v>11420</c:v>
                </c:pt>
                <c:pt idx="1">
                  <c:v>36093</c:v>
                </c:pt>
                <c:pt idx="2">
                  <c:v>88119</c:v>
                </c:pt>
                <c:pt idx="3">
                  <c:v>182724</c:v>
                </c:pt>
                <c:pt idx="4">
                  <c:v>251546</c:v>
                </c:pt>
                <c:pt idx="5">
                  <c:v>338448</c:v>
                </c:pt>
                <c:pt idx="6">
                  <c:v>445807</c:v>
                </c:pt>
                <c:pt idx="7">
                  <c:v>577500</c:v>
                </c:pt>
                <c:pt idx="8">
                  <c:v>925044</c:v>
                </c:pt>
                <c:pt idx="9">
                  <c:v>1409913</c:v>
                </c:pt>
              </c:numCache>
            </c:numRef>
          </c:yVal>
          <c:smooth val="1"/>
        </c:ser>
        <c:axId val="37287808"/>
        <c:axId val="37289344"/>
      </c:scatterChart>
      <c:valAx>
        <c:axId val="37287808"/>
        <c:scaling>
          <c:orientation val="minMax"/>
        </c:scaling>
        <c:axPos val="b"/>
        <c:numFmt formatCode="General" sourceLinked="1"/>
        <c:tickLblPos val="nextTo"/>
        <c:crossAx val="37289344"/>
        <c:crosses val="autoZero"/>
        <c:crossBetween val="midCat"/>
      </c:valAx>
      <c:valAx>
        <c:axId val="37289344"/>
        <c:scaling>
          <c:orientation val="minMax"/>
        </c:scaling>
        <c:axPos val="l"/>
        <c:majorGridlines/>
        <c:numFmt formatCode="General" sourceLinked="1"/>
        <c:tickLblPos val="nextTo"/>
        <c:crossAx val="37287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rendline>
            <c:trendlineType val="power"/>
            <c:dispEq val="1"/>
            <c:trendlineLbl>
              <c:layout/>
              <c:numFmt formatCode="General" sourceLinked="0"/>
            </c:trendlineLbl>
          </c:trendline>
          <c:xVal>
            <c:numRef>
              <c:f>Sheet3!$A$20:$A$29</c:f>
              <c:numCache>
                <c:formatCode>General</c:formatCode>
                <c:ptCount val="10"/>
                <c:pt idx="0">
                  <c:v>11420</c:v>
                </c:pt>
                <c:pt idx="1">
                  <c:v>36093</c:v>
                </c:pt>
                <c:pt idx="2">
                  <c:v>88119</c:v>
                </c:pt>
                <c:pt idx="3">
                  <c:v>182724</c:v>
                </c:pt>
                <c:pt idx="4">
                  <c:v>251546</c:v>
                </c:pt>
                <c:pt idx="5">
                  <c:v>338448</c:v>
                </c:pt>
                <c:pt idx="6">
                  <c:v>445807</c:v>
                </c:pt>
                <c:pt idx="7">
                  <c:v>577500</c:v>
                </c:pt>
                <c:pt idx="8">
                  <c:v>925044</c:v>
                </c:pt>
                <c:pt idx="9">
                  <c:v>1409913</c:v>
                </c:pt>
              </c:numCache>
            </c:numRef>
          </c:xVal>
          <c:yVal>
            <c:numRef>
              <c:f>Sheet3!$B$20:$B$29</c:f>
              <c:numCache>
                <c:formatCode>General</c:formatCode>
                <c:ptCount val="10"/>
                <c:pt idx="0">
                  <c:v>0.1875</c:v>
                </c:pt>
                <c:pt idx="1">
                  <c:v>0.25</c:v>
                </c:pt>
                <c:pt idx="2">
                  <c:v>0.3125</c:v>
                </c:pt>
                <c:pt idx="3">
                  <c:v>0.375</c:v>
                </c:pt>
                <c:pt idx="4">
                  <c:v>0.40625</c:v>
                </c:pt>
                <c:pt idx="5">
                  <c:v>0.4375</c:v>
                </c:pt>
                <c:pt idx="6">
                  <c:v>0.46875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</c:numCache>
            </c:numRef>
          </c:yVal>
          <c:smooth val="1"/>
        </c:ser>
        <c:axId val="43609472"/>
        <c:axId val="43619456"/>
      </c:scatterChart>
      <c:valAx>
        <c:axId val="43609472"/>
        <c:scaling>
          <c:orientation val="minMax"/>
        </c:scaling>
        <c:axPos val="b"/>
        <c:numFmt formatCode="General" sourceLinked="1"/>
        <c:tickLblPos val="nextTo"/>
        <c:crossAx val="43619456"/>
        <c:crosses val="autoZero"/>
        <c:crossBetween val="midCat"/>
      </c:valAx>
      <c:valAx>
        <c:axId val="43619456"/>
        <c:scaling>
          <c:orientation val="minMax"/>
        </c:scaling>
        <c:axPos val="l"/>
        <c:majorGridlines/>
        <c:numFmt formatCode="General" sourceLinked="1"/>
        <c:tickLblPos val="nextTo"/>
        <c:crossAx val="436094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rendline>
            <c:trendlineType val="power"/>
            <c:dispEq val="1"/>
            <c:trendlineLbl>
              <c:layout>
                <c:manualLayout>
                  <c:x val="1.9300087489063904E-3"/>
                  <c:y val="-4.1194954797316996E-2"/>
                </c:manualLayout>
              </c:layout>
              <c:numFmt formatCode="General" sourceLinked="0"/>
            </c:trendlineLbl>
          </c:trendline>
          <c:xVal>
            <c:numRef>
              <c:f>Sheet3!$A$36:$A$45</c:f>
              <c:numCache>
                <c:formatCode>General</c:formatCode>
                <c:ptCount val="10"/>
                <c:pt idx="0">
                  <c:v>2.7611654181941541E-2</c:v>
                </c:pt>
                <c:pt idx="1">
                  <c:v>4.9087385212340517E-2</c:v>
                </c:pt>
                <c:pt idx="2">
                  <c:v>7.6699039394282062E-2</c:v>
                </c:pt>
                <c:pt idx="3">
                  <c:v>0.11044661672776616</c:v>
                </c:pt>
                <c:pt idx="4">
                  <c:v>0.12962137657633668</c:v>
                </c:pt>
                <c:pt idx="5">
                  <c:v>0.15033011721279282</c:v>
                </c:pt>
                <c:pt idx="6">
                  <c:v>0.17257283863713463</c:v>
                </c:pt>
                <c:pt idx="7">
                  <c:v>0.19634954084936207</c:v>
                </c:pt>
                <c:pt idx="8">
                  <c:v>0.24850488763747386</c:v>
                </c:pt>
                <c:pt idx="9">
                  <c:v>0.30679615757712825</c:v>
                </c:pt>
              </c:numCache>
            </c:numRef>
          </c:xVal>
          <c:yVal>
            <c:numRef>
              <c:f>Sheet3!$B$36:$B$45</c:f>
              <c:numCache>
                <c:formatCode>General</c:formatCode>
                <c:ptCount val="10"/>
                <c:pt idx="0">
                  <c:v>11420</c:v>
                </c:pt>
                <c:pt idx="1">
                  <c:v>36093</c:v>
                </c:pt>
                <c:pt idx="2">
                  <c:v>88119</c:v>
                </c:pt>
                <c:pt idx="3">
                  <c:v>182724</c:v>
                </c:pt>
                <c:pt idx="4">
                  <c:v>251546</c:v>
                </c:pt>
                <c:pt idx="5">
                  <c:v>338448</c:v>
                </c:pt>
                <c:pt idx="6">
                  <c:v>445807</c:v>
                </c:pt>
                <c:pt idx="7">
                  <c:v>577500</c:v>
                </c:pt>
                <c:pt idx="8">
                  <c:v>925044</c:v>
                </c:pt>
                <c:pt idx="9">
                  <c:v>1409913</c:v>
                </c:pt>
              </c:numCache>
            </c:numRef>
          </c:yVal>
          <c:smooth val="1"/>
        </c:ser>
        <c:axId val="43639936"/>
        <c:axId val="43641472"/>
      </c:scatterChart>
      <c:valAx>
        <c:axId val="43639936"/>
        <c:scaling>
          <c:orientation val="minMax"/>
        </c:scaling>
        <c:axPos val="b"/>
        <c:numFmt formatCode="General" sourceLinked="1"/>
        <c:tickLblPos val="nextTo"/>
        <c:crossAx val="43641472"/>
        <c:crosses val="autoZero"/>
        <c:crossBetween val="midCat"/>
      </c:valAx>
      <c:valAx>
        <c:axId val="43641472"/>
        <c:scaling>
          <c:orientation val="minMax"/>
        </c:scaling>
        <c:axPos val="l"/>
        <c:majorGridlines/>
        <c:numFmt formatCode="General" sourceLinked="1"/>
        <c:tickLblPos val="nextTo"/>
        <c:crossAx val="43639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Sheet3!$A$78</c:f>
              <c:strCache>
                <c:ptCount val="1"/>
                <c:pt idx="0">
                  <c:v>0.1875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Sheet3!$B$78:$M$78</c:f>
              <c:numCache>
                <c:formatCode>General</c:formatCode>
                <c:ptCount val="12"/>
                <c:pt idx="0">
                  <c:v>2284</c:v>
                </c:pt>
                <c:pt idx="1">
                  <c:v>1142</c:v>
                </c:pt>
                <c:pt idx="2">
                  <c:v>761.33333333333337</c:v>
                </c:pt>
                <c:pt idx="3">
                  <c:v>571</c:v>
                </c:pt>
                <c:pt idx="4">
                  <c:v>456.8</c:v>
                </c:pt>
                <c:pt idx="5">
                  <c:v>380.66666666666669</c:v>
                </c:pt>
                <c:pt idx="6">
                  <c:v>326.28571428571428</c:v>
                </c:pt>
                <c:pt idx="7">
                  <c:v>285.5</c:v>
                </c:pt>
                <c:pt idx="8">
                  <c:v>253.77777777777777</c:v>
                </c:pt>
                <c:pt idx="9">
                  <c:v>228.4</c:v>
                </c:pt>
                <c:pt idx="10">
                  <c:v>207.63636363636363</c:v>
                </c:pt>
                <c:pt idx="11">
                  <c:v>190.33333333333334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Sheet3!$A$79</c:f>
              <c:strCache>
                <c:ptCount val="1"/>
                <c:pt idx="0">
                  <c:v>0.25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Sheet3!$B$79:$M$79</c:f>
              <c:numCache>
                <c:formatCode>General</c:formatCode>
                <c:ptCount val="12"/>
                <c:pt idx="0">
                  <c:v>7218.6</c:v>
                </c:pt>
                <c:pt idx="1">
                  <c:v>3609.3</c:v>
                </c:pt>
                <c:pt idx="2">
                  <c:v>2406.1999999999998</c:v>
                </c:pt>
                <c:pt idx="3">
                  <c:v>1804.65</c:v>
                </c:pt>
                <c:pt idx="4">
                  <c:v>1443.72</c:v>
                </c:pt>
                <c:pt idx="5">
                  <c:v>1203.0999999999999</c:v>
                </c:pt>
                <c:pt idx="6">
                  <c:v>1031.2285714285715</c:v>
                </c:pt>
                <c:pt idx="7">
                  <c:v>902.32500000000005</c:v>
                </c:pt>
                <c:pt idx="8">
                  <c:v>802.06666666666672</c:v>
                </c:pt>
                <c:pt idx="9">
                  <c:v>721.86</c:v>
                </c:pt>
                <c:pt idx="10">
                  <c:v>656.23636363636365</c:v>
                </c:pt>
                <c:pt idx="11">
                  <c:v>601.54999999999995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Sheet3!$A$80</c:f>
              <c:strCache>
                <c:ptCount val="1"/>
                <c:pt idx="0">
                  <c:v>0.3125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Sheet3!$B$80:$M$80</c:f>
              <c:numCache>
                <c:formatCode>General</c:formatCode>
                <c:ptCount val="12"/>
                <c:pt idx="0">
                  <c:v>17623.8</c:v>
                </c:pt>
                <c:pt idx="1">
                  <c:v>8811.9</c:v>
                </c:pt>
                <c:pt idx="2">
                  <c:v>5874.6</c:v>
                </c:pt>
                <c:pt idx="3">
                  <c:v>4405.95</c:v>
                </c:pt>
                <c:pt idx="4">
                  <c:v>3524.76</c:v>
                </c:pt>
                <c:pt idx="5">
                  <c:v>2937.3</c:v>
                </c:pt>
                <c:pt idx="6">
                  <c:v>2517.6857142857143</c:v>
                </c:pt>
                <c:pt idx="7">
                  <c:v>2202.9749999999999</c:v>
                </c:pt>
                <c:pt idx="8">
                  <c:v>1958.2</c:v>
                </c:pt>
                <c:pt idx="9">
                  <c:v>1762.38</c:v>
                </c:pt>
                <c:pt idx="10">
                  <c:v>1602.1636363636364</c:v>
                </c:pt>
                <c:pt idx="11">
                  <c:v>1468.65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Sheet3!$A$81</c:f>
              <c:strCache>
                <c:ptCount val="1"/>
                <c:pt idx="0">
                  <c:v>0.375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Sheet3!$B$81:$M$81</c:f>
              <c:numCache>
                <c:formatCode>General</c:formatCode>
                <c:ptCount val="12"/>
                <c:pt idx="0">
                  <c:v>36544.800000000003</c:v>
                </c:pt>
                <c:pt idx="1">
                  <c:v>18272.400000000001</c:v>
                </c:pt>
                <c:pt idx="2">
                  <c:v>12181.6</c:v>
                </c:pt>
                <c:pt idx="3">
                  <c:v>9136.2000000000007</c:v>
                </c:pt>
                <c:pt idx="4">
                  <c:v>7308.96</c:v>
                </c:pt>
                <c:pt idx="5">
                  <c:v>6090.8</c:v>
                </c:pt>
                <c:pt idx="6">
                  <c:v>5220.6857142857143</c:v>
                </c:pt>
                <c:pt idx="7">
                  <c:v>4568.1000000000004</c:v>
                </c:pt>
                <c:pt idx="8">
                  <c:v>4060.5333333333333</c:v>
                </c:pt>
                <c:pt idx="9">
                  <c:v>3654.48</c:v>
                </c:pt>
                <c:pt idx="10">
                  <c:v>3322.2545454545457</c:v>
                </c:pt>
                <c:pt idx="11">
                  <c:v>3045.4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Sheet3!$A$82</c:f>
              <c:strCache>
                <c:ptCount val="1"/>
                <c:pt idx="0">
                  <c:v>0.40625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Sheet3!$B$82:$M$82</c:f>
              <c:numCache>
                <c:formatCode>General</c:formatCode>
                <c:ptCount val="12"/>
                <c:pt idx="0">
                  <c:v>50309.2</c:v>
                </c:pt>
                <c:pt idx="1">
                  <c:v>25154.6</c:v>
                </c:pt>
                <c:pt idx="2">
                  <c:v>16769.733333333334</c:v>
                </c:pt>
                <c:pt idx="3">
                  <c:v>12577.3</c:v>
                </c:pt>
                <c:pt idx="4">
                  <c:v>10061.84</c:v>
                </c:pt>
                <c:pt idx="5">
                  <c:v>8384.8666666666668</c:v>
                </c:pt>
                <c:pt idx="6">
                  <c:v>7187.028571428571</c:v>
                </c:pt>
                <c:pt idx="7">
                  <c:v>6288.65</c:v>
                </c:pt>
                <c:pt idx="8">
                  <c:v>5589.9111111111115</c:v>
                </c:pt>
                <c:pt idx="9">
                  <c:v>5030.92</c:v>
                </c:pt>
                <c:pt idx="10">
                  <c:v>4573.5636363636368</c:v>
                </c:pt>
                <c:pt idx="11">
                  <c:v>4192.4333333333334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Sheet3!$A$83</c:f>
              <c:strCache>
                <c:ptCount val="1"/>
                <c:pt idx="0">
                  <c:v>0.4375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Sheet3!$B$83:$M$83</c:f>
              <c:numCache>
                <c:formatCode>General</c:formatCode>
                <c:ptCount val="12"/>
                <c:pt idx="0">
                  <c:v>67689.600000000006</c:v>
                </c:pt>
                <c:pt idx="1">
                  <c:v>33844.800000000003</c:v>
                </c:pt>
                <c:pt idx="2">
                  <c:v>22563.200000000001</c:v>
                </c:pt>
                <c:pt idx="3">
                  <c:v>16922.400000000001</c:v>
                </c:pt>
                <c:pt idx="4">
                  <c:v>13537.92</c:v>
                </c:pt>
                <c:pt idx="5">
                  <c:v>11281.6</c:v>
                </c:pt>
                <c:pt idx="6">
                  <c:v>9669.942857142858</c:v>
                </c:pt>
                <c:pt idx="7">
                  <c:v>8461.2000000000007</c:v>
                </c:pt>
                <c:pt idx="8">
                  <c:v>7521.0666666666666</c:v>
                </c:pt>
                <c:pt idx="9">
                  <c:v>6768.96</c:v>
                </c:pt>
                <c:pt idx="10">
                  <c:v>6153.6</c:v>
                </c:pt>
                <c:pt idx="11">
                  <c:v>5640.8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Sheet3!$A$84</c:f>
              <c:strCache>
                <c:ptCount val="1"/>
                <c:pt idx="0">
                  <c:v>0.46875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Sheet3!$B$84:$M$84</c:f>
              <c:numCache>
                <c:formatCode>General</c:formatCode>
                <c:ptCount val="12"/>
                <c:pt idx="0">
                  <c:v>89161.4</c:v>
                </c:pt>
                <c:pt idx="1">
                  <c:v>44580.7</c:v>
                </c:pt>
                <c:pt idx="2">
                  <c:v>29720.466666666667</c:v>
                </c:pt>
                <c:pt idx="3">
                  <c:v>22290.35</c:v>
                </c:pt>
                <c:pt idx="4">
                  <c:v>17832.28</c:v>
                </c:pt>
                <c:pt idx="5">
                  <c:v>14860.233333333334</c:v>
                </c:pt>
                <c:pt idx="6">
                  <c:v>12737.342857142858</c:v>
                </c:pt>
                <c:pt idx="7">
                  <c:v>11145.174999999999</c:v>
                </c:pt>
                <c:pt idx="8">
                  <c:v>9906.822222222223</c:v>
                </c:pt>
                <c:pt idx="9">
                  <c:v>8916.14</c:v>
                </c:pt>
                <c:pt idx="10">
                  <c:v>8105.5818181818186</c:v>
                </c:pt>
                <c:pt idx="11">
                  <c:v>7430.1166666666668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Sheet3!$A$85</c:f>
              <c:strCache>
                <c:ptCount val="1"/>
                <c:pt idx="0">
                  <c:v>0.5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Sheet3!$B$85:$M$85</c:f>
              <c:numCache>
                <c:formatCode>General</c:formatCode>
                <c:ptCount val="12"/>
                <c:pt idx="0">
                  <c:v>115500</c:v>
                </c:pt>
                <c:pt idx="1">
                  <c:v>57750</c:v>
                </c:pt>
                <c:pt idx="2">
                  <c:v>38500</c:v>
                </c:pt>
                <c:pt idx="3">
                  <c:v>28875</c:v>
                </c:pt>
                <c:pt idx="4">
                  <c:v>23100</c:v>
                </c:pt>
                <c:pt idx="5">
                  <c:v>19250</c:v>
                </c:pt>
                <c:pt idx="6">
                  <c:v>16500</c:v>
                </c:pt>
                <c:pt idx="7">
                  <c:v>14437.5</c:v>
                </c:pt>
                <c:pt idx="8">
                  <c:v>12833.333333333334</c:v>
                </c:pt>
                <c:pt idx="9">
                  <c:v>11550</c:v>
                </c:pt>
                <c:pt idx="10">
                  <c:v>10500</c:v>
                </c:pt>
                <c:pt idx="11">
                  <c:v>9625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Sheet3!$A$86</c:f>
              <c:strCache>
                <c:ptCount val="1"/>
                <c:pt idx="0">
                  <c:v>0.5625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Sheet3!$B$86:$M$86</c:f>
              <c:numCache>
                <c:formatCode>General</c:formatCode>
                <c:ptCount val="12"/>
                <c:pt idx="0">
                  <c:v>185008.8</c:v>
                </c:pt>
                <c:pt idx="1">
                  <c:v>92504.4</c:v>
                </c:pt>
                <c:pt idx="2">
                  <c:v>61669.599999999999</c:v>
                </c:pt>
                <c:pt idx="3">
                  <c:v>46252.2</c:v>
                </c:pt>
                <c:pt idx="4">
                  <c:v>37001.760000000002</c:v>
                </c:pt>
                <c:pt idx="5">
                  <c:v>30834.799999999999</c:v>
                </c:pt>
                <c:pt idx="6">
                  <c:v>26429.82857142857</c:v>
                </c:pt>
                <c:pt idx="7">
                  <c:v>23126.1</c:v>
                </c:pt>
                <c:pt idx="8">
                  <c:v>20556.533333333333</c:v>
                </c:pt>
                <c:pt idx="9">
                  <c:v>18500.88</c:v>
                </c:pt>
                <c:pt idx="10">
                  <c:v>16818.981818181819</c:v>
                </c:pt>
                <c:pt idx="11">
                  <c:v>15417.4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Sheet3!$A$87</c:f>
              <c:strCache>
                <c:ptCount val="1"/>
                <c:pt idx="0">
                  <c:v>0.625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Sheet3!$B$87:$M$87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axId val="55252096"/>
        <c:axId val="55253632"/>
      </c:scatterChart>
      <c:valAx>
        <c:axId val="55252096"/>
        <c:scaling>
          <c:orientation val="minMax"/>
        </c:scaling>
        <c:axPos val="b"/>
        <c:numFmt formatCode="General" sourceLinked="1"/>
        <c:tickLblPos val="nextTo"/>
        <c:crossAx val="55253632"/>
        <c:crosses val="autoZero"/>
        <c:crossBetween val="midCat"/>
      </c:valAx>
      <c:valAx>
        <c:axId val="55253632"/>
        <c:scaling>
          <c:orientation val="minMax"/>
        </c:scaling>
        <c:axPos val="l"/>
        <c:majorGridlines/>
        <c:numFmt formatCode="General" sourceLinked="1"/>
        <c:tickLblPos val="nextTo"/>
        <c:crossAx val="552520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Sheet3!$O$78</c:f>
              <c:strCache>
                <c:ptCount val="1"/>
                <c:pt idx="0">
                  <c:v>0.1875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Sheet3!$P$78:$AA$78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46997.100000000006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25634.781818181815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Sheet3!$O$79</c:f>
              <c:strCache>
                <c:ptCount val="1"/>
                <c:pt idx="0">
                  <c:v>0.25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Sheet3!$P$79:$AA$79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46997.099999999991</c:v>
                </c:pt>
                <c:pt idx="6">
                  <c:v>40283.228571428575</c:v>
                </c:pt>
                <c:pt idx="7">
                  <c:v>35247.825000000004</c:v>
                </c:pt>
                <c:pt idx="8">
                  <c:v>31331.4</c:v>
                </c:pt>
                <c:pt idx="9">
                  <c:v>28198.260000000002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Sheet3!$O$80</c:f>
              <c:strCache>
                <c:ptCount val="1"/>
                <c:pt idx="0">
                  <c:v>0.3125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Sheet3!$P$80:$AA$80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Sheet3!$O$81</c:f>
              <c:strCache>
                <c:ptCount val="1"/>
                <c:pt idx="0">
                  <c:v>0.375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Sheet3!$P$81:$AA$81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70495.650000000009</c:v>
                </c:pt>
                <c:pt idx="4">
                  <c:v>56396.51999999999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Sheet3!$O$82</c:f>
              <c:strCache>
                <c:ptCount val="1"/>
                <c:pt idx="0">
                  <c:v>0.40625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Sheet3!$P$82:$AA$82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Sheet3!$O$83</c:f>
              <c:strCache>
                <c:ptCount val="1"/>
                <c:pt idx="0">
                  <c:v>0.4375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Sheet3!$P$83:$AA$83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70495.650000000009</c:v>
                </c:pt>
                <c:pt idx="4">
                  <c:v>56396.51999999999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Sheet3!$O$84</c:f>
              <c:strCache>
                <c:ptCount val="1"/>
                <c:pt idx="0">
                  <c:v>0.46875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Sheet3!$P$84:$AA$84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70495.649999999994</c:v>
                </c:pt>
                <c:pt idx="4">
                  <c:v>56396.51999999999</c:v>
                </c:pt>
                <c:pt idx="5">
                  <c:v>46997.100000000006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Sheet3!$O$85</c:f>
              <c:strCache>
                <c:ptCount val="1"/>
                <c:pt idx="0">
                  <c:v>0.5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Sheet3!$P$85:$AA$85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56396.51999999999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Sheet3!$O$86</c:f>
              <c:strCache>
                <c:ptCount val="1"/>
                <c:pt idx="0">
                  <c:v>0.5625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Sheet3!$P$86:$AA$86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28198.260000000002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Sheet3!$O$87</c:f>
              <c:strCache>
                <c:ptCount val="1"/>
                <c:pt idx="0">
                  <c:v>0.625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Sheet3!$P$87:$AA$87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axId val="55329920"/>
        <c:axId val="55331456"/>
      </c:scatterChart>
      <c:valAx>
        <c:axId val="55329920"/>
        <c:scaling>
          <c:orientation val="minMax"/>
        </c:scaling>
        <c:axPos val="b"/>
        <c:numFmt formatCode="General" sourceLinked="1"/>
        <c:tickLblPos val="nextTo"/>
        <c:crossAx val="55331456"/>
        <c:crosses val="autoZero"/>
        <c:crossBetween val="midCat"/>
      </c:valAx>
      <c:valAx>
        <c:axId val="55331456"/>
        <c:scaling>
          <c:orientation val="minMax"/>
        </c:scaling>
        <c:axPos val="l"/>
        <c:majorGridlines/>
        <c:numFmt formatCode="General" sourceLinked="1"/>
        <c:tickLblPos val="nextTo"/>
        <c:crossAx val="553299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'Spring Turn Diameter'!$C$163</c:f>
              <c:strCache>
                <c:ptCount val="1"/>
                <c:pt idx="0">
                  <c:v>0.1875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Diameter'!$D$163:$AI$163</c:f>
              <c:numCache>
                <c:formatCode>General</c:formatCode>
                <c:ptCount val="32"/>
                <c:pt idx="0">
                  <c:v>2.2062562965086308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'Spring Turn Diameter'!$C$164</c:f>
              <c:strCache>
                <c:ptCount val="1"/>
                <c:pt idx="0">
                  <c:v>0.25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Diameter'!$D$164:$AI$164</c:f>
              <c:numCache>
                <c:formatCode>General</c:formatCode>
                <c:ptCount val="32"/>
                <c:pt idx="0">
                  <c:v>2.1967575733687252</c:v>
                </c:pt>
                <c:pt idx="1">
                  <c:v>2.1457356612988723</c:v>
                </c:pt>
                <c:pt idx="2">
                  <c:v>2.0967981890496192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'Spring Turn Diameter'!$C$165</c:f>
              <c:strCache>
                <c:ptCount val="1"/>
                <c:pt idx="0">
                  <c:v>0.3125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Diameter'!$D$165:$AI$165</c:f>
              <c:numCache>
                <c:formatCode>General</c:formatCode>
                <c:ptCount val="32"/>
                <c:pt idx="0">
                  <c:v>2.1040003623196499</c:v>
                </c:pt>
                <c:pt idx="1">
                  <c:v>2.0833594676514586</c:v>
                </c:pt>
                <c:pt idx="2">
                  <c:v>2.0630682010825678</c:v>
                </c:pt>
                <c:pt idx="3">
                  <c:v>2.0431177538948004</c:v>
                </c:pt>
                <c:pt idx="4">
                  <c:v>2.0234996108143544</c:v>
                </c:pt>
                <c:pt idx="5">
                  <c:v>2.0042055378933519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'Spring Turn Diameter'!$C$166</c:f>
              <c:strCache>
                <c:ptCount val="1"/>
                <c:pt idx="0">
                  <c:v>0.375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Diameter'!$D$166:$AI$166</c:f>
              <c:numCache>
                <c:formatCode>General</c:formatCode>
                <c:ptCount val="32"/>
                <c:pt idx="0">
                  <c:v>2.9805289645254422</c:v>
                </c:pt>
                <c:pt idx="1">
                  <c:v>2.9612813047807052</c:v>
                </c:pt>
                <c:pt idx="2">
                  <c:v>2.9422531987705676</c:v>
                </c:pt>
                <c:pt idx="3">
                  <c:v>2.9234409111986155</c:v>
                </c:pt>
                <c:pt idx="4">
                  <c:v>2.9048407910227407</c:v>
                </c:pt>
                <c:pt idx="5">
                  <c:v>2.8864492690928829</c:v>
                </c:pt>
                <c:pt idx="6">
                  <c:v>2.8682628558678118</c:v>
                </c:pt>
                <c:pt idx="7">
                  <c:v>2.850278139207866</c:v>
                </c:pt>
                <c:pt idx="8">
                  <c:v>2.8324917822407341</c:v>
                </c:pt>
                <c:pt idx="9">
                  <c:v>2.8149005212974623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'Spring Turn Diameter'!$C$167</c:f>
              <c:strCache>
                <c:ptCount val="1"/>
                <c:pt idx="0">
                  <c:v>0.40625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Diameter'!$D$167:$AI$167</c:f>
              <c:numCache>
                <c:formatCode>General</c:formatCode>
                <c:ptCount val="32"/>
                <c:pt idx="0">
                  <c:v>2.9235943852164876</c:v>
                </c:pt>
                <c:pt idx="1">
                  <c:v>2.909803949679862</c:v>
                </c:pt>
                <c:pt idx="2">
                  <c:v>2.89612726825963</c:v>
                </c:pt>
                <c:pt idx="3">
                  <c:v>2.8825629392398735</c:v>
                </c:pt>
                <c:pt idx="4">
                  <c:v>2.8691095838403449</c:v>
                </c:pt>
                <c:pt idx="5">
                  <c:v>2.8557658457492687</c:v>
                </c:pt>
                <c:pt idx="6">
                  <c:v>2.8425303906675206</c:v>
                </c:pt>
                <c:pt idx="7">
                  <c:v>2.8294019058638558</c:v>
                </c:pt>
                <c:pt idx="8">
                  <c:v>2.8163790997408777</c:v>
                </c:pt>
                <c:pt idx="9">
                  <c:v>2.8034607014114474</c:v>
                </c:pt>
                <c:pt idx="10">
                  <c:v>2.7906454602852402</c:v>
                </c:pt>
                <c:pt idx="11">
                  <c:v>2.7779321456651656</c:v>
                </c:pt>
                <c:pt idx="12">
                  <c:v>2.7653195463533815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'Spring Turn Diameter'!$C$168</c:f>
              <c:strCache>
                <c:ptCount val="1"/>
                <c:pt idx="0">
                  <c:v>0.4375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Diameter'!$D$168:$AI$168</c:f>
              <c:numCache>
                <c:formatCode>General</c:formatCode>
                <c:ptCount val="32"/>
                <c:pt idx="0">
                  <c:v>2.8648460181202631</c:v>
                </c:pt>
                <c:pt idx="1">
                  <c:v>2.8547540970801895</c:v>
                </c:pt>
                <c:pt idx="2">
                  <c:v>2.8447236696422005</c:v>
                </c:pt>
                <c:pt idx="3">
                  <c:v>2.8347541754604713</c:v>
                </c:pt>
                <c:pt idx="4">
                  <c:v>2.8248450609765881</c:v>
                </c:pt>
                <c:pt idx="5">
                  <c:v>2.8149957793170826</c:v>
                </c:pt>
                <c:pt idx="6">
                  <c:v>2.8052057901928311</c:v>
                </c:pt>
                <c:pt idx="7">
                  <c:v>2.7954745598002511</c:v>
                </c:pt>
                <c:pt idx="8">
                  <c:v>2.7858015607242832</c:v>
                </c:pt>
                <c:pt idx="9">
                  <c:v>2.7761862718431032</c:v>
                </c:pt>
                <c:pt idx="10">
                  <c:v>2.7666281782345314</c:v>
                </c:pt>
                <c:pt idx="11">
                  <c:v>2.7571267710841205</c:v>
                </c:pt>
                <c:pt idx="12">
                  <c:v>2.7476815475948553</c:v>
                </c:pt>
                <c:pt idx="13">
                  <c:v>2.7382920108984674</c:v>
                </c:pt>
                <c:pt idx="14">
                  <c:v>2.7289576699683002</c:v>
                </c:pt>
                <c:pt idx="15">
                  <c:v>2.7196780395337159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'Spring Turn Diameter'!$C$169</c:f>
              <c:strCache>
                <c:ptCount val="1"/>
                <c:pt idx="0">
                  <c:v>0.46875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Diameter'!$D$169:$AI$169</c:f>
              <c:numCache>
                <c:formatCode>General</c:formatCode>
                <c:ptCount val="32"/>
                <c:pt idx="0">
                  <c:v>2.804930301618012</c:v>
                </c:pt>
                <c:pt idx="1">
                  <c:v>2.7973954487665482</c:v>
                </c:pt>
                <c:pt idx="2">
                  <c:v>2.7898952013919089</c:v>
                </c:pt>
                <c:pt idx="3">
                  <c:v>2.7824293216403437</c:v>
                </c:pt>
                <c:pt idx="4">
                  <c:v>2.7749975738329038</c:v>
                </c:pt>
                <c:pt idx="5">
                  <c:v>2.7675997244406454</c:v>
                </c:pt>
                <c:pt idx="6">
                  <c:v>2.7602355420601667</c:v>
                </c:pt>
                <c:pt idx="7">
                  <c:v>2.7529047973894807</c:v>
                </c:pt>
                <c:pt idx="8">
                  <c:v>2.7456072632042141</c:v>
                </c:pt>
                <c:pt idx="9">
                  <c:v>2.7383427143341308</c:v>
                </c:pt>
                <c:pt idx="10">
                  <c:v>2.7311109276399734</c:v>
                </c:pt>
                <c:pt idx="11">
                  <c:v>2.7239116819906122</c:v>
                </c:pt>
                <c:pt idx="12">
                  <c:v>2.7167447582405111</c:v>
                </c:pt>
                <c:pt idx="13">
                  <c:v>2.7096099392074855</c:v>
                </c:pt>
                <c:pt idx="14">
                  <c:v>2.7025070096507693</c:v>
                </c:pt>
                <c:pt idx="15">
                  <c:v>2.695435756249366</c:v>
                </c:pt>
                <c:pt idx="16">
                  <c:v>2.6883959675806954</c:v>
                </c:pt>
                <c:pt idx="17">
                  <c:v>2.6813874340995212</c:v>
                </c:pt>
                <c:pt idx="18">
                  <c:v>2.6744099481171593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'Spring Turn Diameter'!$C$170</c:f>
              <c:strCache>
                <c:ptCount val="1"/>
                <c:pt idx="0">
                  <c:v>0.5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Diameter'!$D$170:$AI$170</c:f>
              <c:numCache>
                <c:formatCode>General</c:formatCode>
                <c:ptCount val="32"/>
                <c:pt idx="0">
                  <c:v>4.6107512588101924</c:v>
                </c:pt>
                <c:pt idx="1">
                  <c:v>4.5965815278554274</c:v>
                </c:pt>
                <c:pt idx="2">
                  <c:v>4.5824901517770531</c:v>
                </c:pt>
                <c:pt idx="3">
                  <c:v>4.5684764824443516</c:v>
                </c:pt>
                <c:pt idx="4">
                  <c:v>4.5545398788551719</c:v>
                </c:pt>
                <c:pt idx="5">
                  <c:v>4.5406797070381888</c:v>
                </c:pt>
                <c:pt idx="6">
                  <c:v>4.5268953399567735</c:v>
                </c:pt>
                <c:pt idx="7">
                  <c:v>4.513186157414431</c:v>
                </c:pt>
                <c:pt idx="8">
                  <c:v>4.4995515459617819</c:v>
                </c:pt>
                <c:pt idx="9">
                  <c:v>4.4859908988050616</c:v>
                </c:pt>
                <c:pt idx="10">
                  <c:v>4.4725036157161</c:v>
                </c:pt>
                <c:pt idx="11">
                  <c:v>4.4590891029437616</c:v>
                </c:pt>
                <c:pt idx="12">
                  <c:v>4.4457467731268103</c:v>
                </c:pt>
                <c:pt idx="13">
                  <c:v>4.4324760452081877</c:v>
                </c:pt>
                <c:pt idx="14">
                  <c:v>4.4192763443506511</c:v>
                </c:pt>
                <c:pt idx="15">
                  <c:v>4.406147101853783</c:v>
                </c:pt>
                <c:pt idx="16">
                  <c:v>4.3930877550723029</c:v>
                </c:pt>
                <c:pt idx="17">
                  <c:v>4.3800977473357028</c:v>
                </c:pt>
                <c:pt idx="18">
                  <c:v>4.3671765278691455</c:v>
                </c:pt>
                <c:pt idx="19">
                  <c:v>4.3543235517156162</c:v>
                </c:pt>
                <c:pt idx="20">
                  <c:v>4.3415382796593134</c:v>
                </c:pt>
                <c:pt idx="21">
                  <c:v>4.3288201781502371</c:v>
                </c:pt>
                <c:pt idx="22">
                  <c:v>4.3161687192299718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'Spring Turn Diameter'!$C$171</c:f>
              <c:strCache>
                <c:ptCount val="1"/>
                <c:pt idx="0">
                  <c:v>0.5625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Diameter'!$D$171:$AI$171</c:f>
              <c:numCache>
                <c:formatCode>General</c:formatCode>
                <c:ptCount val="32"/>
                <c:pt idx="0">
                  <c:v>4.4913109656973083</c:v>
                </c:pt>
                <c:pt idx="1">
                  <c:v>4.4826517071795875</c:v>
                </c:pt>
                <c:pt idx="2">
                  <c:v>4.4740220716541028</c:v>
                </c:pt>
                <c:pt idx="3">
                  <c:v>4.4654219073717352</c:v>
                </c:pt>
                <c:pt idx="4">
                  <c:v>4.4568510636180774</c:v>
                </c:pt>
                <c:pt idx="5">
                  <c:v>4.4483093907046376</c:v>
                </c:pt>
                <c:pt idx="6">
                  <c:v>4.4397967399601193</c:v>
                </c:pt>
                <c:pt idx="7">
                  <c:v>4.4313129637217994</c:v>
                </c:pt>
                <c:pt idx="8">
                  <c:v>4.422857915326988</c:v>
                </c:pt>
                <c:pt idx="9">
                  <c:v>4.4144314491045771</c:v>
                </c:pt>
                <c:pt idx="10">
                  <c:v>4.4060334203666756</c:v>
                </c:pt>
                <c:pt idx="11">
                  <c:v>4.3976636854003273</c:v>
                </c:pt>
                <c:pt idx="12">
                  <c:v>4.3893221014593147</c:v>
                </c:pt>
                <c:pt idx="13">
                  <c:v>4.3810085267560392</c:v>
                </c:pt>
                <c:pt idx="14">
                  <c:v>4.3727228204534931</c:v>
                </c:pt>
                <c:pt idx="15">
                  <c:v>4.3644648426573021</c:v>
                </c:pt>
                <c:pt idx="16">
                  <c:v>4.3562344544078568</c:v>
                </c:pt>
                <c:pt idx="17">
                  <c:v>4.3480315176725117</c:v>
                </c:pt>
                <c:pt idx="18">
                  <c:v>4.3398558953378759</c:v>
                </c:pt>
                <c:pt idx="19">
                  <c:v>4.3317074512021669</c:v>
                </c:pt>
                <c:pt idx="20">
                  <c:v>4.3235860499676528</c:v>
                </c:pt>
                <c:pt idx="21">
                  <c:v>4.3154915572331589</c:v>
                </c:pt>
                <c:pt idx="22">
                  <c:v>4.3074238394866553</c:v>
                </c:pt>
                <c:pt idx="23">
                  <c:v>4.2993827640979188</c:v>
                </c:pt>
                <c:pt idx="24">
                  <c:v>4.291368199311262</c:v>
                </c:pt>
                <c:pt idx="25">
                  <c:v>4.2833800142383369</c:v>
                </c:pt>
                <c:pt idx="26">
                  <c:v>4.2754180788510103</c:v>
                </c:pt>
                <c:pt idx="27">
                  <c:v>4.2674822639743111</c:v>
                </c:pt>
                <c:pt idx="28">
                  <c:v>4.2595724412794382</c:v>
                </c:pt>
                <c:pt idx="29">
                  <c:v>4.2516884832768511</c:v>
                </c:pt>
                <c:pt idx="30">
                  <c:v>4.2438302633094125</c:v>
                </c:pt>
                <c:pt idx="31">
                  <c:v>4.2359976555456118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'Spring Turn Diameter'!$C$172</c:f>
              <c:strCache>
                <c:ptCount val="1"/>
                <c:pt idx="0">
                  <c:v>0.625</c:v>
                </c:pt>
              </c:strCache>
            </c:strRef>
          </c:tx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Diameter'!$D$172:$AI$172</c:f>
              <c:numCache>
                <c:formatCode>General</c:formatCode>
                <c:ptCount val="32"/>
                <c:pt idx="0">
                  <c:v>4.3694356558294087</c:v>
                </c:pt>
                <c:pt idx="1">
                  <c:v>4.3638836826619345</c:v>
                </c:pt>
                <c:pt idx="2">
                  <c:v>4.3583440392873865</c:v>
                </c:pt>
                <c:pt idx="3">
                  <c:v>4.3528166846784133</c:v>
                </c:pt>
                <c:pt idx="4">
                  <c:v>4.3473015779894846</c:v>
                </c:pt>
                <c:pt idx="5">
                  <c:v>4.3417986785558886</c:v>
                </c:pt>
                <c:pt idx="6">
                  <c:v>4.3363079458927283</c:v>
                </c:pt>
                <c:pt idx="7">
                  <c:v>4.3308293396939321</c:v>
                </c:pt>
                <c:pt idx="8">
                  <c:v>4.3253628198312688</c:v>
                </c:pt>
                <c:pt idx="9">
                  <c:v>4.3199083463533618</c:v>
                </c:pt>
                <c:pt idx="10">
                  <c:v>4.3144658794847226</c:v>
                </c:pt>
                <c:pt idx="11">
                  <c:v>4.3090353796247793</c:v>
                </c:pt>
                <c:pt idx="12">
                  <c:v>4.3036168073469199</c:v>
                </c:pt>
                <c:pt idx="13">
                  <c:v>4.2982101233975349</c:v>
                </c:pt>
                <c:pt idx="14">
                  <c:v>4.2928152886950688</c:v>
                </c:pt>
                <c:pt idx="15">
                  <c:v>4.287432264329083</c:v>
                </c:pt>
                <c:pt idx="16">
                  <c:v>4.2820610115593167</c:v>
                </c:pt>
                <c:pt idx="17">
                  <c:v>4.2767014918147588</c:v>
                </c:pt>
                <c:pt idx="18">
                  <c:v>4.2713536666927228</c:v>
                </c:pt>
                <c:pt idx="19">
                  <c:v>4.2660174979579324</c:v>
                </c:pt>
                <c:pt idx="20">
                  <c:v>4.2606929475416093</c:v>
                </c:pt>
                <c:pt idx="21">
                  <c:v>4.2553799775405654</c:v>
                </c:pt>
                <c:pt idx="22">
                  <c:v>4.2500785502163065</c:v>
                </c:pt>
                <c:pt idx="23">
                  <c:v>4.24478862799414</c:v>
                </c:pt>
                <c:pt idx="24">
                  <c:v>4.239510173462282</c:v>
                </c:pt>
                <c:pt idx="25">
                  <c:v>4.2342431493709789</c:v>
                </c:pt>
                <c:pt idx="26">
                  <c:v>4.228987518631631</c:v>
                </c:pt>
                <c:pt idx="27">
                  <c:v>4.2237432443159229</c:v>
                </c:pt>
                <c:pt idx="28">
                  <c:v>4.2185102896549544</c:v>
                </c:pt>
                <c:pt idx="29">
                  <c:v>4.2132886180383844</c:v>
                </c:pt>
                <c:pt idx="30">
                  <c:v>4.2080781930135789</c:v>
                </c:pt>
                <c:pt idx="31">
                  <c:v>4.20287897828476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'Spring Turn Diameter'!$C$173</c:f>
              <c:strCache>
                <c:ptCount val="1"/>
                <c:pt idx="0">
                  <c:v>2.75</c:v>
                </c:pt>
              </c:strCache>
            </c:strRef>
          </c:tx>
          <c:spPr>
            <a:ln>
              <a:solidFill>
                <a:sysClr val="windowText" lastClr="000000">
                  <a:alpha val="50000"/>
                </a:sysClr>
              </a:solidFill>
            </a:ln>
          </c:spPr>
          <c:marker>
            <c:symbol val="none"/>
          </c:marker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Diameter'!$D$173:$AI$173</c:f>
              <c:numCache>
                <c:formatCode>General</c:formatCode>
                <c:ptCount val="32"/>
                <c:pt idx="0">
                  <c:v>2.75</c:v>
                </c:pt>
                <c:pt idx="1">
                  <c:v>2.75</c:v>
                </c:pt>
                <c:pt idx="2">
                  <c:v>2.75</c:v>
                </c:pt>
                <c:pt idx="3">
                  <c:v>2.75</c:v>
                </c:pt>
                <c:pt idx="4">
                  <c:v>2.75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2.75</c:v>
                </c:pt>
                <c:pt idx="11">
                  <c:v>2.75</c:v>
                </c:pt>
                <c:pt idx="12">
                  <c:v>2.75</c:v>
                </c:pt>
                <c:pt idx="13">
                  <c:v>2.75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'Spring Turn Diameter'!$C$174</c:f>
              <c:strCache>
                <c:ptCount val="1"/>
                <c:pt idx="0">
                  <c:v>3.75</c:v>
                </c:pt>
              </c:strCache>
            </c:strRef>
          </c:tx>
          <c:spPr>
            <a:ln>
              <a:solidFill>
                <a:sysClr val="windowText" lastClr="000000">
                  <a:alpha val="50000"/>
                </a:sysClr>
              </a:solidFill>
            </a:ln>
          </c:spPr>
          <c:marker>
            <c:symbol val="none"/>
          </c:marker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Diameter'!$D$174:$AI$174</c:f>
              <c:numCache>
                <c:formatCode>General</c:formatCode>
                <c:ptCount val="32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  <c:pt idx="13">
                  <c:v>3.75</c:v>
                </c:pt>
                <c:pt idx="14">
                  <c:v>3.75</c:v>
                </c:pt>
                <c:pt idx="15">
                  <c:v>3.75</c:v>
                </c:pt>
                <c:pt idx="16">
                  <c:v>3.75</c:v>
                </c:pt>
                <c:pt idx="17">
                  <c:v>3.75</c:v>
                </c:pt>
                <c:pt idx="18">
                  <c:v>3.75</c:v>
                </c:pt>
                <c:pt idx="19">
                  <c:v>3.75</c:v>
                </c:pt>
                <c:pt idx="20">
                  <c:v>3.75</c:v>
                </c:pt>
                <c:pt idx="21">
                  <c:v>3.75</c:v>
                </c:pt>
                <c:pt idx="22">
                  <c:v>3.75</c:v>
                </c:pt>
                <c:pt idx="23">
                  <c:v>3.75</c:v>
                </c:pt>
                <c:pt idx="24">
                  <c:v>3.75</c:v>
                </c:pt>
                <c:pt idx="25">
                  <c:v>3.75</c:v>
                </c:pt>
                <c:pt idx="26">
                  <c:v>3.75</c:v>
                </c:pt>
                <c:pt idx="27">
                  <c:v>3.75</c:v>
                </c:pt>
                <c:pt idx="28">
                  <c:v>3.75</c:v>
                </c:pt>
                <c:pt idx="29">
                  <c:v>3.75</c:v>
                </c:pt>
                <c:pt idx="30">
                  <c:v>3.75</c:v>
                </c:pt>
                <c:pt idx="31">
                  <c:v>3.75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'Spring Turn Diameter'!$C$175</c:f>
              <c:strCache>
                <c:ptCount val="1"/>
                <c:pt idx="0">
                  <c:v>5.625</c:v>
                </c:pt>
              </c:strCache>
            </c:strRef>
          </c:tx>
          <c:spPr>
            <a:ln>
              <a:solidFill>
                <a:sysClr val="windowText" lastClr="000000">
                  <a:alpha val="50000"/>
                </a:sysClr>
              </a:solidFill>
            </a:ln>
          </c:spPr>
          <c:marker>
            <c:symbol val="none"/>
          </c:marker>
          <c:xVal>
            <c:numRef>
              <c:f>'Spring Turn Diameter'!$D$162:$AI$162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'Spring Turn Diameter'!$D$175:$AI$175</c:f>
              <c:numCache>
                <c:formatCode>General</c:formatCode>
                <c:ptCount val="32"/>
                <c:pt idx="0">
                  <c:v>5.625</c:v>
                </c:pt>
                <c:pt idx="1">
                  <c:v>5.625</c:v>
                </c:pt>
                <c:pt idx="2">
                  <c:v>5.625</c:v>
                </c:pt>
                <c:pt idx="3">
                  <c:v>5.625</c:v>
                </c:pt>
                <c:pt idx="4">
                  <c:v>5.625</c:v>
                </c:pt>
                <c:pt idx="5">
                  <c:v>5.625</c:v>
                </c:pt>
                <c:pt idx="6">
                  <c:v>5.625</c:v>
                </c:pt>
                <c:pt idx="7">
                  <c:v>5.625</c:v>
                </c:pt>
                <c:pt idx="8">
                  <c:v>5.625</c:v>
                </c:pt>
                <c:pt idx="9">
                  <c:v>5.625</c:v>
                </c:pt>
                <c:pt idx="10">
                  <c:v>5.625</c:v>
                </c:pt>
                <c:pt idx="11">
                  <c:v>5.625</c:v>
                </c:pt>
                <c:pt idx="12">
                  <c:v>5.625</c:v>
                </c:pt>
                <c:pt idx="13">
                  <c:v>5.625</c:v>
                </c:pt>
                <c:pt idx="14">
                  <c:v>5.625</c:v>
                </c:pt>
                <c:pt idx="15">
                  <c:v>5.625</c:v>
                </c:pt>
                <c:pt idx="16">
                  <c:v>5.625</c:v>
                </c:pt>
                <c:pt idx="17">
                  <c:v>5.625</c:v>
                </c:pt>
                <c:pt idx="18">
                  <c:v>5.625</c:v>
                </c:pt>
                <c:pt idx="19">
                  <c:v>5.625</c:v>
                </c:pt>
                <c:pt idx="20">
                  <c:v>5.625</c:v>
                </c:pt>
                <c:pt idx="21">
                  <c:v>5.625</c:v>
                </c:pt>
                <c:pt idx="22">
                  <c:v>5.625</c:v>
                </c:pt>
                <c:pt idx="23">
                  <c:v>5.625</c:v>
                </c:pt>
                <c:pt idx="24">
                  <c:v>5.625</c:v>
                </c:pt>
                <c:pt idx="25">
                  <c:v>5.625</c:v>
                </c:pt>
                <c:pt idx="26">
                  <c:v>5.625</c:v>
                </c:pt>
                <c:pt idx="27">
                  <c:v>5.625</c:v>
                </c:pt>
                <c:pt idx="28">
                  <c:v>5.625</c:v>
                </c:pt>
                <c:pt idx="29">
                  <c:v>5.625</c:v>
                </c:pt>
                <c:pt idx="30">
                  <c:v>5.625</c:v>
                </c:pt>
                <c:pt idx="31">
                  <c:v>5.625</c:v>
                </c:pt>
              </c:numCache>
            </c:numRef>
          </c:yVal>
          <c:smooth val="1"/>
        </c:ser>
        <c:axId val="92176384"/>
        <c:axId val="92158208"/>
      </c:scatterChart>
      <c:valAx>
        <c:axId val="92176384"/>
        <c:scaling>
          <c:orientation val="minMax"/>
        </c:scaling>
        <c:axPos val="b"/>
        <c:numFmt formatCode="General" sourceLinked="1"/>
        <c:tickLblPos val="nextTo"/>
        <c:crossAx val="92158208"/>
        <c:crosses val="autoZero"/>
        <c:crossBetween val="midCat"/>
      </c:valAx>
      <c:valAx>
        <c:axId val="92158208"/>
        <c:scaling>
          <c:orientation val="minMax"/>
        </c:scaling>
        <c:axPos val="l"/>
        <c:majorGridlines/>
        <c:numFmt formatCode="General" sourceLinked="1"/>
        <c:tickLblPos val="nextTo"/>
        <c:crossAx val="92176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790574</xdr:colOff>
      <xdr:row>52</xdr:row>
      <xdr:rowOff>76199</xdr:rowOff>
    </xdr:from>
    <xdr:to>
      <xdr:col>32</xdr:col>
      <xdr:colOff>485774</xdr:colOff>
      <xdr:row>72</xdr:row>
      <xdr:rowOff>28574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190498</xdr:colOff>
      <xdr:row>1</xdr:row>
      <xdr:rowOff>133350</xdr:rowOff>
    </xdr:from>
    <xdr:to>
      <xdr:col>16</xdr:col>
      <xdr:colOff>57150</xdr:colOff>
      <xdr:row>16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247650</xdr:colOff>
      <xdr:row>17</xdr:row>
      <xdr:rowOff>142875</xdr:rowOff>
    </xdr:from>
    <xdr:to>
      <xdr:col>13</xdr:col>
      <xdr:colOff>552450</xdr:colOff>
      <xdr:row>32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238125</xdr:colOff>
      <xdr:row>34</xdr:row>
      <xdr:rowOff>38100</xdr:rowOff>
    </xdr:from>
    <xdr:to>
      <xdr:col>11</xdr:col>
      <xdr:colOff>542925</xdr:colOff>
      <xdr:row>48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86</xdr:row>
      <xdr:rowOff>28574</xdr:rowOff>
    </xdr:from>
    <xdr:to>
      <xdr:col>11</xdr:col>
      <xdr:colOff>152400</xdr:colOff>
      <xdr:row>103</xdr:row>
      <xdr:rowOff>171449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552450</xdr:colOff>
      <xdr:row>86</xdr:row>
      <xdr:rowOff>19050</xdr:rowOff>
    </xdr:from>
    <xdr:to>
      <xdr:col>26</xdr:col>
      <xdr:colOff>342900</xdr:colOff>
      <xdr:row>107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166</xdr:row>
      <xdr:rowOff>76199</xdr:rowOff>
    </xdr:from>
    <xdr:to>
      <xdr:col>34</xdr:col>
      <xdr:colOff>257175</xdr:colOff>
      <xdr:row>204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wirelookup" displayName="wirelookup" ref="A1:E11" totalsRowShown="0">
  <autoFilter ref="A1:E11">
    <filterColumn colId="4"/>
  </autoFilter>
  <tableColumns count="5">
    <tableColumn id="1" name="diameter"/>
    <tableColumn id="2" name="lift"/>
    <tableColumn id="3" name="average tensile"/>
    <tableColumn id="4" name="MP_base" dataDxfId="4">
      <calculatedColumnFormula>wirelookup[[#This Row],[average tensile]]*wirelookup[[#This Row],[diameter]]^3/10.2</calculatedColumnFormula>
    </tableColumn>
    <tableColumn id="5" name="min_od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cycles" displayName="cycles" ref="G1:H6" totalsRowShown="0">
  <autoFilter ref="G1:H6"/>
  <tableColumns count="2">
    <tableColumn id="1" name="cycles"/>
    <tableColumn id="2" name="rati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odlookup" displayName="odlookup" ref="J1:J7" totalsRowShown="0">
  <autoFilter ref="J1:J7"/>
  <tableColumns count="1">
    <tableColumn id="1" name="o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pipes" displayName="pipes" ref="L1:L3" totalsRowShown="0">
  <autoFilter ref="L1:L3"/>
  <tableColumns count="1">
    <tableColumn id="1" name="pipesiz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A30"/>
  <sheetViews>
    <sheetView tabSelected="1" topLeftCell="A7" workbookViewId="0">
      <selection activeCell="H8" sqref="H8"/>
    </sheetView>
  </sheetViews>
  <sheetFormatPr defaultRowHeight="15"/>
  <cols>
    <col min="1" max="1" width="10.28515625" customWidth="1"/>
    <col min="2" max="2" width="11.28515625" customWidth="1"/>
    <col min="3" max="3" width="16" customWidth="1"/>
    <col min="4" max="4" width="16.42578125" customWidth="1"/>
    <col min="5" max="5" width="10.7109375" bestFit="1" customWidth="1"/>
    <col min="6" max="6" width="15.42578125" bestFit="1" customWidth="1"/>
    <col min="7" max="7" width="14.7109375" bestFit="1" customWidth="1"/>
    <col min="8" max="8" width="7.5703125" bestFit="1" customWidth="1"/>
    <col min="9" max="9" width="13.28515625" customWidth="1"/>
    <col min="10" max="10" width="12" bestFit="1" customWidth="1"/>
    <col min="16" max="16" width="11.140625" customWidth="1"/>
    <col min="17" max="17" width="16.42578125" customWidth="1"/>
    <col min="18" max="18" width="16.140625" customWidth="1"/>
    <col min="19" max="19" width="13" customWidth="1"/>
    <col min="23" max="23" width="11.42578125" customWidth="1"/>
    <col min="25" max="25" width="10.5703125" customWidth="1"/>
    <col min="27" max="27" width="11.42578125" customWidth="1"/>
  </cols>
  <sheetData>
    <row r="2" spans="1:27" ht="15.75" thickBot="1"/>
    <row r="3" spans="1:27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3"/>
      <c r="M3" s="26"/>
      <c r="N3" s="26"/>
      <c r="O3" s="26"/>
    </row>
    <row r="4" spans="1:27" ht="18.75">
      <c r="A4" s="24"/>
      <c r="B4" s="72" t="s">
        <v>93</v>
      </c>
      <c r="C4" s="72"/>
      <c r="D4" s="72"/>
      <c r="E4" s="72"/>
      <c r="F4" s="72"/>
      <c r="G4" s="72"/>
      <c r="H4" s="72"/>
      <c r="I4" s="72"/>
      <c r="J4" s="72"/>
      <c r="K4" s="72"/>
      <c r="L4" s="58"/>
      <c r="M4" s="57"/>
      <c r="N4" s="26"/>
      <c r="O4" s="26"/>
    </row>
    <row r="5" spans="1:27">
      <c r="A5" s="24"/>
      <c r="B5" s="26"/>
      <c r="C5" s="26"/>
      <c r="D5" s="26"/>
      <c r="E5" s="26"/>
      <c r="F5" s="26"/>
      <c r="G5" s="26"/>
      <c r="H5" s="26"/>
      <c r="I5" s="26"/>
      <c r="J5" s="26"/>
      <c r="K5" s="26"/>
      <c r="L5" s="25"/>
      <c r="M5" s="26"/>
      <c r="N5" s="26"/>
      <c r="O5" s="26"/>
    </row>
    <row r="6" spans="1:27">
      <c r="A6" s="24"/>
      <c r="B6" s="26"/>
      <c r="C6" s="26"/>
      <c r="D6" s="70" t="s">
        <v>16</v>
      </c>
      <c r="E6" s="70"/>
      <c r="F6" s="70"/>
      <c r="G6" s="70"/>
      <c r="H6" s="70"/>
      <c r="I6" s="26"/>
      <c r="J6" s="26"/>
      <c r="K6" s="26"/>
      <c r="L6" s="25"/>
      <c r="M6" s="26"/>
      <c r="N6" s="26"/>
      <c r="O6" s="26"/>
      <c r="Q6" s="71" t="s">
        <v>16</v>
      </c>
      <c r="R6" s="71"/>
      <c r="S6" s="71"/>
      <c r="T6" s="19"/>
      <c r="U6" s="19"/>
      <c r="V6" s="19"/>
      <c r="W6" s="19"/>
      <c r="X6" s="19"/>
      <c r="Y6" s="19"/>
    </row>
    <row r="7" spans="1:27">
      <c r="A7" s="24"/>
      <c r="B7" s="26"/>
      <c r="C7" s="26"/>
      <c r="D7" s="27" t="s">
        <v>3</v>
      </c>
      <c r="E7" s="27" t="s">
        <v>4</v>
      </c>
      <c r="F7" s="27" t="s">
        <v>95</v>
      </c>
      <c r="G7" s="28" t="s">
        <v>5</v>
      </c>
      <c r="H7" s="27" t="s">
        <v>12</v>
      </c>
      <c r="I7" s="26"/>
      <c r="J7" s="26"/>
      <c r="K7" s="26"/>
      <c r="L7" s="25"/>
      <c r="M7" s="26"/>
      <c r="N7" s="26"/>
      <c r="O7" s="26"/>
      <c r="Q7" s="18" t="s">
        <v>3</v>
      </c>
      <c r="R7" s="18" t="s">
        <v>4</v>
      </c>
      <c r="S7" s="18" t="s">
        <v>12</v>
      </c>
      <c r="T7" s="52" t="s">
        <v>107</v>
      </c>
    </row>
    <row r="8" spans="1:27">
      <c r="A8" s="24"/>
      <c r="B8" s="26"/>
      <c r="C8" s="26"/>
      <c r="D8" s="29">
        <v>229.819879919947</v>
      </c>
      <c r="E8" s="5">
        <v>4.49</v>
      </c>
      <c r="F8" s="6">
        <v>0.375</v>
      </c>
      <c r="G8" s="30">
        <f t="array" ref="G8">MIN(IF(wirelookup[MP_base]*cycrat&gt;ippt*tt/1.015,wirelookup[diameter]))</f>
        <v>0.375</v>
      </c>
      <c r="H8" s="7">
        <v>12500</v>
      </c>
      <c r="I8" s="26"/>
      <c r="J8" s="26"/>
      <c r="K8" s="26"/>
      <c r="L8" s="25"/>
      <c r="M8" s="26"/>
      <c r="N8" s="26"/>
      <c r="O8" s="26"/>
      <c r="Q8" s="38">
        <v>362.05250596658709</v>
      </c>
      <c r="R8" s="38">
        <v>5.69</v>
      </c>
      <c r="S8" s="40">
        <v>12500</v>
      </c>
      <c r="T8" s="39">
        <v>4.25</v>
      </c>
    </row>
    <row r="9" spans="1:27">
      <c r="A9" s="24"/>
      <c r="B9" s="26"/>
      <c r="C9" s="26"/>
      <c r="D9" s="26"/>
      <c r="E9" s="26"/>
      <c r="F9" s="26"/>
      <c r="G9" s="26"/>
      <c r="H9" s="26"/>
      <c r="I9" s="26"/>
      <c r="J9" s="26"/>
      <c r="K9" s="26"/>
      <c r="L9" s="25"/>
      <c r="M9" s="26"/>
      <c r="N9" s="26"/>
      <c r="O9" s="26"/>
    </row>
    <row r="10" spans="1:27">
      <c r="A10" s="24"/>
      <c r="B10" s="26"/>
      <c r="C10" s="70" t="s">
        <v>8</v>
      </c>
      <c r="D10" s="70"/>
      <c r="E10" s="70"/>
      <c r="F10" s="70"/>
      <c r="G10" s="70"/>
      <c r="H10" s="70"/>
      <c r="I10" s="70"/>
      <c r="J10" s="26"/>
      <c r="K10" s="26"/>
      <c r="L10" s="25"/>
      <c r="M10" s="26"/>
      <c r="N10" s="26"/>
      <c r="O10" s="26"/>
      <c r="Q10" s="71" t="s">
        <v>96</v>
      </c>
      <c r="R10" s="71"/>
      <c r="S10" s="71"/>
      <c r="T10" s="71"/>
      <c r="V10" s="71" t="s">
        <v>109</v>
      </c>
      <c r="W10" s="71"/>
      <c r="X10" s="71"/>
      <c r="Y10" s="71"/>
      <c r="Z10" s="71"/>
      <c r="AA10" s="71"/>
    </row>
    <row r="11" spans="1:27">
      <c r="A11" s="24"/>
      <c r="B11" s="26"/>
      <c r="C11" s="27" t="s">
        <v>9</v>
      </c>
      <c r="D11" s="27" t="s">
        <v>1</v>
      </c>
      <c r="E11" s="27" t="s">
        <v>23</v>
      </c>
      <c r="F11" s="27" t="s">
        <v>10</v>
      </c>
      <c r="G11" s="27" t="s">
        <v>15</v>
      </c>
      <c r="H11" s="27" t="s">
        <v>19</v>
      </c>
      <c r="I11" s="27" t="s">
        <v>83</v>
      </c>
      <c r="J11" s="26"/>
      <c r="K11" s="26"/>
      <c r="L11" s="25"/>
      <c r="M11" s="26"/>
      <c r="N11" s="26"/>
      <c r="O11" s="26"/>
      <c r="Q11" s="17" t="s">
        <v>95</v>
      </c>
      <c r="R11" s="17" t="s">
        <v>6</v>
      </c>
      <c r="S11" s="17" t="s">
        <v>38</v>
      </c>
      <c r="T11" s="17" t="s">
        <v>18</v>
      </c>
      <c r="V11" s="17" t="s">
        <v>11</v>
      </c>
      <c r="W11" s="17" t="s">
        <v>118</v>
      </c>
      <c r="X11" s="17" t="s">
        <v>22</v>
      </c>
      <c r="Y11" s="17" t="s">
        <v>7</v>
      </c>
      <c r="Z11" s="17" t="s">
        <v>19</v>
      </c>
      <c r="AA11" s="17" t="s">
        <v>111</v>
      </c>
    </row>
    <row r="12" spans="1:27">
      <c r="A12" s="24"/>
      <c r="B12" s="26"/>
      <c r="C12" s="31">
        <f>MATCH(wd,wirelookup[diameter],0)</f>
        <v>4</v>
      </c>
      <c r="D12" s="31">
        <f>VLOOKUP(wd,wirelookup[],2,0)</f>
        <v>182724</v>
      </c>
      <c r="E12" s="31">
        <f>VLOOKUP(wd,wirelookup[],3,0)</f>
        <v>197500</v>
      </c>
      <c r="F12" s="31">
        <f>VLOOKUP(wd,wirelookup[],4,0)</f>
        <v>1021.0822610294118</v>
      </c>
      <c r="G12" s="31">
        <f>VLOOKUP(cyc,cycles[],2,0)</f>
        <v>1.0549999999999999</v>
      </c>
      <c r="H12" s="31">
        <f>wd*2*tt</f>
        <v>3.3675000000000002</v>
      </c>
      <c r="I12" s="31">
        <f>IFERROR((mp*cycrat)/ippt,"")</f>
        <v>4.6873307294445734</v>
      </c>
      <c r="J12" s="26"/>
      <c r="K12" s="26"/>
      <c r="L12" s="25"/>
      <c r="M12" s="26"/>
      <c r="N12" s="26"/>
      <c r="O12" s="26"/>
      <c r="P12" s="3" t="s">
        <v>92</v>
      </c>
      <c r="Q12" s="55">
        <f t="array" ref="Q12">MIN(MAX(IF(wirelookup[MP_base]*VLOOKUP(ds_cyc,cycles[],2,0)&lt;ds_ippt*ds_tt/1.015,wirelookup[diameter])),MAX(IF(wirelookup[min_od]&lt;ds_pipe,wirelookup[diameter])))</f>
        <v>0.46875</v>
      </c>
      <c r="R12" s="53">
        <f>IFERROR(VLOOKUP(Q12,wirelookup[],2,0)/(VLOOKUP(Q12,wirelookup[],4,0)*VLOOKUP(ds_cyc,cycles[],2,0)/ds_tt),0)</f>
        <v>1287.0970394113365</v>
      </c>
      <c r="S12" s="53">
        <f>X12*Q12</f>
        <v>58.527958874645208</v>
      </c>
      <c r="T12" s="54">
        <f t="array" ref="T12">MAX(IF(odlookup[od]&lt;T8,odlookup[od]))</f>
        <v>3.75</v>
      </c>
      <c r="V12" s="13">
        <f>IFERROR(VLOOKUP(Q12,wirelookup[],2,0)/R12,0)</f>
        <v>346.3662694802664</v>
      </c>
      <c r="W12" s="13">
        <f>(T12-Q12)*PI()</f>
        <v>10.308350894591509</v>
      </c>
      <c r="X12" s="13">
        <f>IFERROR(R12/W12,0)</f>
        <v>124.85964559924311</v>
      </c>
      <c r="Y12" s="13">
        <f>IFERROR((VLOOKUP(Q12,wirelookup[],4,0)*VLOOKUP($S$8,cycles[],2,0))/V12,0)</f>
        <v>5.69</v>
      </c>
      <c r="Z12" s="13">
        <f>Q12*2*$R$8</f>
        <v>5.3343750000000005</v>
      </c>
      <c r="AA12" s="8">
        <f>$Q$8-V12</f>
        <v>15.686236486320695</v>
      </c>
    </row>
    <row r="13" spans="1:27" ht="15.75" thickBot="1">
      <c r="A13" s="24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5"/>
      <c r="M13" s="26"/>
      <c r="N13" s="26"/>
      <c r="O13" s="26"/>
      <c r="P13" s="3" t="s">
        <v>92</v>
      </c>
      <c r="Q13" s="59">
        <f t="array" ref="Q13">MIN(IF(wirelookup[MP_base]*VLOOKUP(ds_cyc,cycles[],2,0)&gt;=(ds_ippt-V12)*ds_tt/1.015,wirelookup[diameter]))</f>
        <v>0.1875</v>
      </c>
      <c r="R13" s="13">
        <f>IFERROR(VLOOKUP(Q13,wirelookup[],2,0)/(ds_ippt-V12),0)</f>
        <v>728.02676473473423</v>
      </c>
      <c r="S13" s="13">
        <f>X13*Q13</f>
        <v>16.956447557668291</v>
      </c>
      <c r="T13" s="60">
        <f t="array" ref="T13">MAX(IF(odlookup[od]&lt;T12,odlookup[od]))</f>
        <v>2.75</v>
      </c>
      <c r="V13" s="13">
        <f>IFERROR(VLOOKUP(Q13,wirelookup[],2,0)/R13,0)</f>
        <v>15.686236486320695</v>
      </c>
      <c r="W13" s="13">
        <f t="shared" ref="W13:W19" si="0">(T13-Q13)*PI()</f>
        <v>8.0503311748238442</v>
      </c>
      <c r="X13" s="13">
        <f t="shared" ref="X13:X19" si="1">IFERROR(R13/W13,0)</f>
        <v>90.434386974230875</v>
      </c>
      <c r="Y13" s="13">
        <f>IFERROR((VLOOKUP(Q13,wirelookup[],4,0)*VLOOKUP($S$8,cycles[],2,0))/V13,0)</f>
        <v>9.6709104356666256</v>
      </c>
      <c r="Z13" s="13">
        <f t="shared" ref="Z13:Z19" si="2">Q13*2*$R$8</f>
        <v>2.13375</v>
      </c>
      <c r="AA13" s="8">
        <f>AA12-V13</f>
        <v>0</v>
      </c>
    </row>
    <row r="14" spans="1:27">
      <c r="A14" s="24"/>
      <c r="B14" s="26"/>
      <c r="C14" s="70" t="s">
        <v>46</v>
      </c>
      <c r="D14" s="70"/>
      <c r="E14" s="56"/>
      <c r="F14" s="70" t="s">
        <v>17</v>
      </c>
      <c r="G14" s="70"/>
      <c r="H14" s="70"/>
      <c r="I14" s="70"/>
      <c r="J14" s="70"/>
      <c r="K14" s="70"/>
      <c r="L14" s="25"/>
      <c r="M14" s="26"/>
      <c r="N14" s="26"/>
      <c r="O14" s="26"/>
      <c r="P14" s="3" t="s">
        <v>110</v>
      </c>
      <c r="Q14" s="61">
        <v>0.25</v>
      </c>
      <c r="R14" s="62"/>
      <c r="S14" s="62"/>
      <c r="T14" s="63">
        <v>3.75</v>
      </c>
      <c r="V14" s="13">
        <f>IFERROR(VLOOKUP(Q14,wirelookup[],2,0)/R14,0)</f>
        <v>0</v>
      </c>
      <c r="W14" s="13">
        <f t="shared" si="0"/>
        <v>10.995574287564276</v>
      </c>
      <c r="X14" s="13">
        <f t="shared" si="1"/>
        <v>0</v>
      </c>
      <c r="Y14" s="13">
        <f>IFERROR((VLOOKUP(Q14,wirelookup[],4,0)*VLOOKUP($S$8,cycles[],2,0))/V14,0)</f>
        <v>0</v>
      </c>
      <c r="Z14" s="13">
        <f t="shared" si="2"/>
        <v>2.8450000000000002</v>
      </c>
      <c r="AA14" s="8">
        <f>Q8-V14</f>
        <v>362.05250596658709</v>
      </c>
    </row>
    <row r="15" spans="1:27" ht="15.75" thickBot="1">
      <c r="A15" s="24"/>
      <c r="B15" s="26"/>
      <c r="C15" s="27" t="s">
        <v>6</v>
      </c>
      <c r="D15" s="33" t="s">
        <v>18</v>
      </c>
      <c r="E15" s="26"/>
      <c r="F15" s="27" t="s">
        <v>11</v>
      </c>
      <c r="G15" s="33" t="s">
        <v>20</v>
      </c>
      <c r="H15" s="27" t="s">
        <v>22</v>
      </c>
      <c r="I15" s="33" t="s">
        <v>34</v>
      </c>
      <c r="J15" s="27" t="s">
        <v>7</v>
      </c>
      <c r="K15" s="26"/>
      <c r="L15" s="25"/>
      <c r="M15" s="26"/>
      <c r="N15" s="26"/>
      <c r="O15" s="26"/>
      <c r="P15" s="20" t="s">
        <v>110</v>
      </c>
      <c r="Q15" s="64">
        <v>0.3125</v>
      </c>
      <c r="R15" s="65"/>
      <c r="S15" s="65"/>
      <c r="T15" s="66">
        <v>2.75</v>
      </c>
      <c r="V15" s="13">
        <f>IFERROR(VLOOKUP(Q15,wirelookup[],2,0)/R15,0)</f>
        <v>0</v>
      </c>
      <c r="W15" s="13">
        <f t="shared" si="0"/>
        <v>7.6576320931251205</v>
      </c>
      <c r="X15" s="13">
        <f t="shared" si="1"/>
        <v>0</v>
      </c>
      <c r="Y15" s="13">
        <f>IFERROR((VLOOKUP(Q15,wirelookup[],4,0)*VLOOKUP($S$8,cycles[],2,0))/V15,0)</f>
        <v>0</v>
      </c>
      <c r="Z15" s="13">
        <f t="shared" si="2"/>
        <v>3.5562500000000004</v>
      </c>
      <c r="AA15" s="8">
        <f>AA14-V15</f>
        <v>362.05250596658709</v>
      </c>
    </row>
    <row r="16" spans="1:27">
      <c r="A16" s="24"/>
      <c r="B16" s="34" t="s">
        <v>92</v>
      </c>
      <c r="C16" s="31">
        <f>lift/ippt</f>
        <v>795.07482148040515</v>
      </c>
      <c r="D16" s="13">
        <f>IF(VLOOKUP(wd,wirelookup[],5,0)&lt;5.625,3.75,5.625)</f>
        <v>3.75</v>
      </c>
      <c r="E16" s="26"/>
      <c r="F16" s="31">
        <f t="shared" ref="F16:F22" si="3">IFERROR(lift/C16,"")</f>
        <v>229.819879919947</v>
      </c>
      <c r="G16" s="31">
        <f t="shared" ref="G16:G22" si="4">(D16-wd)*PI()</f>
        <v>10.602875205865551</v>
      </c>
      <c r="H16" s="31">
        <f t="shared" ref="H16:H22" si="5">C16/G16</f>
        <v>74.986718794970514</v>
      </c>
      <c r="I16" s="31">
        <f t="shared" ref="I16:I22" si="6">H16*wd</f>
        <v>28.120019548113945</v>
      </c>
      <c r="J16" s="31">
        <f t="shared" ref="J16:J22" si="7">(mp*cycrat)/F16</f>
        <v>4.6873307294445734</v>
      </c>
      <c r="K16" s="31"/>
      <c r="L16" s="25"/>
      <c r="M16" s="26"/>
      <c r="N16" s="26"/>
      <c r="O16" s="26"/>
      <c r="Q16" s="44">
        <v>0.25</v>
      </c>
      <c r="R16" s="47">
        <v>400</v>
      </c>
      <c r="S16" s="47">
        <f>R16/W16</f>
        <v>50.929581789406512</v>
      </c>
      <c r="T16" s="44">
        <v>2.75</v>
      </c>
      <c r="V16" s="13">
        <f>IFERROR(VLOOKUP(Q16,wirelookup[],2,0)/R16,0)</f>
        <v>90.232500000000002</v>
      </c>
      <c r="W16" s="13">
        <f t="shared" si="0"/>
        <v>7.8539816339744828</v>
      </c>
      <c r="X16" s="13">
        <f t="shared" si="1"/>
        <v>50.929581789406512</v>
      </c>
      <c r="Y16" s="13">
        <f>IFERROR((VLOOKUP(Q16,wirelookup[],4,0)*VLOOKUP($S$8,cycles[],2,0))/V16,0)</f>
        <v>3.8059953915348315</v>
      </c>
      <c r="Z16" s="13">
        <f t="shared" si="2"/>
        <v>2.8450000000000002</v>
      </c>
      <c r="AA16" s="8" t="e">
        <f>NA()</f>
        <v>#N/A</v>
      </c>
    </row>
    <row r="17" spans="1:27">
      <c r="A17" s="24"/>
      <c r="B17" s="26"/>
      <c r="C17" s="32"/>
      <c r="D17" s="10">
        <v>2.75</v>
      </c>
      <c r="E17" s="26"/>
      <c r="F17" s="31" t="str">
        <f t="shared" si="3"/>
        <v/>
      </c>
      <c r="G17" s="31">
        <f t="shared" si="4"/>
        <v>7.4612825522757582</v>
      </c>
      <c r="H17" s="31">
        <f t="shared" si="5"/>
        <v>0</v>
      </c>
      <c r="I17" s="31">
        <f t="shared" si="6"/>
        <v>0</v>
      </c>
      <c r="J17" s="31" t="e">
        <f t="shared" si="7"/>
        <v>#VALUE!</v>
      </c>
      <c r="K17" s="31"/>
      <c r="L17" s="25"/>
      <c r="M17" s="26"/>
      <c r="N17" s="26"/>
      <c r="O17" s="26"/>
      <c r="Q17" s="44">
        <v>0.3125</v>
      </c>
      <c r="R17" s="47">
        <v>400</v>
      </c>
      <c r="S17" s="47">
        <f>R17/W17</f>
        <v>37.039695846841099</v>
      </c>
      <c r="T17" s="44">
        <v>3.75</v>
      </c>
      <c r="V17" s="13">
        <f>IFERROR(VLOOKUP(Q17,wirelookup[],2,0)/R17,0)</f>
        <v>220.29750000000001</v>
      </c>
      <c r="W17" s="13">
        <f t="shared" si="0"/>
        <v>10.799224746714915</v>
      </c>
      <c r="X17" s="13">
        <f t="shared" si="1"/>
        <v>37.039695846841099</v>
      </c>
      <c r="Y17" s="13">
        <f>IFERROR((VLOOKUP(Q17,wirelookup[],4,0)*VLOOKUP($S$8,cycles[],2,0))/V17,0)</f>
        <v>2.9014681780273901</v>
      </c>
      <c r="Z17" s="13">
        <f t="shared" si="2"/>
        <v>3.5562500000000004</v>
      </c>
      <c r="AA17" s="8" t="e">
        <f>NA()</f>
        <v>#N/A</v>
      </c>
    </row>
    <row r="18" spans="1:27">
      <c r="A18" s="24"/>
      <c r="B18" s="26"/>
      <c r="C18" s="32"/>
      <c r="D18" s="11">
        <v>3.75</v>
      </c>
      <c r="E18" s="26"/>
      <c r="F18" s="31" t="str">
        <f t="shared" si="3"/>
        <v/>
      </c>
      <c r="G18" s="31">
        <f t="shared" si="4"/>
        <v>10.602875205865551</v>
      </c>
      <c r="H18" s="31">
        <f t="shared" si="5"/>
        <v>0</v>
      </c>
      <c r="I18" s="31">
        <f t="shared" si="6"/>
        <v>0</v>
      </c>
      <c r="J18" s="31" t="e">
        <f t="shared" si="7"/>
        <v>#VALUE!</v>
      </c>
      <c r="K18" s="31"/>
      <c r="L18" s="25"/>
      <c r="M18" s="26"/>
      <c r="N18" s="26"/>
      <c r="O18" s="26"/>
      <c r="Q18" s="44"/>
      <c r="R18" s="47"/>
      <c r="S18" s="47"/>
      <c r="T18" s="44"/>
      <c r="V18" s="13">
        <f>IFERROR(VLOOKUP(Q18,wirelookup[],2,0)/R18,0)</f>
        <v>0</v>
      </c>
      <c r="W18" s="13">
        <f t="shared" si="0"/>
        <v>0</v>
      </c>
      <c r="X18" s="13">
        <f t="shared" si="1"/>
        <v>0</v>
      </c>
      <c r="Y18" s="13">
        <f>IFERROR((VLOOKUP(Q18,wirelookup[],4,0)*VLOOKUP($S$8,cycles[],2,0))/V18,0)</f>
        <v>0</v>
      </c>
      <c r="Z18" s="13">
        <f t="shared" si="2"/>
        <v>0</v>
      </c>
      <c r="AA18" s="8" t="e">
        <f>NA()</f>
        <v>#N/A</v>
      </c>
    </row>
    <row r="19" spans="1:27">
      <c r="A19" s="24"/>
      <c r="B19" s="26"/>
      <c r="C19" s="32"/>
      <c r="D19" s="11">
        <v>2.75</v>
      </c>
      <c r="E19" s="26"/>
      <c r="F19" s="31" t="str">
        <f t="shared" si="3"/>
        <v/>
      </c>
      <c r="G19" s="31">
        <f t="shared" si="4"/>
        <v>7.4612825522757582</v>
      </c>
      <c r="H19" s="31">
        <f t="shared" si="5"/>
        <v>0</v>
      </c>
      <c r="I19" s="31">
        <f t="shared" si="6"/>
        <v>0</v>
      </c>
      <c r="J19" s="31" t="e">
        <f t="shared" si="7"/>
        <v>#VALUE!</v>
      </c>
      <c r="K19" s="31"/>
      <c r="L19" s="25"/>
      <c r="M19" s="26"/>
      <c r="N19" s="26"/>
      <c r="O19" s="26"/>
      <c r="Q19" s="45"/>
      <c r="R19" s="48"/>
      <c r="S19" s="48"/>
      <c r="T19" s="45"/>
      <c r="V19" s="13">
        <f>IFERROR(VLOOKUP(Q19,wirelookup[],2,0)/R19,0)</f>
        <v>0</v>
      </c>
      <c r="W19" s="13">
        <f t="shared" si="0"/>
        <v>0</v>
      </c>
      <c r="X19" s="13">
        <f t="shared" si="1"/>
        <v>0</v>
      </c>
      <c r="Y19" s="13">
        <f>IFERROR((VLOOKUP(Q19,wirelookup[],4,0)*VLOOKUP($S$8,cycles[],2,0))/V19,0)</f>
        <v>0</v>
      </c>
      <c r="Z19" s="13">
        <f t="shared" si="2"/>
        <v>0</v>
      </c>
      <c r="AA19" s="8" t="e">
        <f>NA()</f>
        <v>#N/A</v>
      </c>
    </row>
    <row r="20" spans="1:27">
      <c r="A20" s="24"/>
      <c r="B20" s="26"/>
      <c r="C20" s="32"/>
      <c r="D20" s="11">
        <v>2.75</v>
      </c>
      <c r="E20" s="26"/>
      <c r="F20" s="31" t="str">
        <f t="shared" si="3"/>
        <v/>
      </c>
      <c r="G20" s="31">
        <f t="shared" si="4"/>
        <v>7.4612825522757582</v>
      </c>
      <c r="H20" s="31">
        <f t="shared" si="5"/>
        <v>0</v>
      </c>
      <c r="I20" s="31">
        <f t="shared" si="6"/>
        <v>0</v>
      </c>
      <c r="J20" s="31" t="e">
        <f t="shared" si="7"/>
        <v>#VALUE!</v>
      </c>
      <c r="K20" s="31"/>
      <c r="L20" s="25"/>
      <c r="M20" s="26"/>
      <c r="N20" s="26"/>
      <c r="O20" s="26"/>
    </row>
    <row r="21" spans="1:27">
      <c r="A21" s="24"/>
      <c r="B21" s="26"/>
      <c r="C21" s="32"/>
      <c r="D21" s="11">
        <v>2.75</v>
      </c>
      <c r="E21" s="26"/>
      <c r="F21" s="31" t="str">
        <f t="shared" si="3"/>
        <v/>
      </c>
      <c r="G21" s="31">
        <f t="shared" si="4"/>
        <v>7.4612825522757582</v>
      </c>
      <c r="H21" s="31">
        <f t="shared" si="5"/>
        <v>0</v>
      </c>
      <c r="I21" s="31">
        <f t="shared" si="6"/>
        <v>0</v>
      </c>
      <c r="J21" s="31" t="e">
        <f t="shared" si="7"/>
        <v>#VALUE!</v>
      </c>
      <c r="K21" s="31"/>
      <c r="L21" s="25"/>
      <c r="M21" s="26"/>
      <c r="N21" s="26"/>
      <c r="O21" s="26"/>
    </row>
    <row r="22" spans="1:27">
      <c r="A22" s="24"/>
      <c r="B22" s="26"/>
      <c r="C22" s="32"/>
      <c r="D22" s="12">
        <v>2.75</v>
      </c>
      <c r="E22" s="26"/>
      <c r="F22" s="31" t="str">
        <f t="shared" si="3"/>
        <v/>
      </c>
      <c r="G22" s="31">
        <f t="shared" si="4"/>
        <v>7.4612825522757582</v>
      </c>
      <c r="H22" s="31">
        <f t="shared" si="5"/>
        <v>0</v>
      </c>
      <c r="I22" s="31">
        <f t="shared" si="6"/>
        <v>0</v>
      </c>
      <c r="J22" s="31" t="e">
        <f t="shared" si="7"/>
        <v>#VALUE!</v>
      </c>
      <c r="K22" s="31"/>
      <c r="L22" s="25"/>
      <c r="M22" s="26"/>
      <c r="N22" s="26"/>
      <c r="O22" s="26"/>
    </row>
    <row r="23" spans="1:27">
      <c r="A23" s="24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5"/>
      <c r="M23" s="26"/>
      <c r="N23" s="26"/>
      <c r="O23" s="26"/>
    </row>
    <row r="24" spans="1:27">
      <c r="A24" s="24"/>
      <c r="B24" s="26"/>
      <c r="C24" s="70" t="s">
        <v>39</v>
      </c>
      <c r="D24" s="70"/>
      <c r="E24" s="56"/>
      <c r="F24" s="26"/>
      <c r="G24" s="26"/>
      <c r="H24" s="26"/>
      <c r="I24" s="26"/>
      <c r="J24" s="26"/>
      <c r="K24" s="26"/>
      <c r="L24" s="25"/>
      <c r="M24" s="26"/>
      <c r="N24" s="26"/>
      <c r="O24" s="26"/>
    </row>
    <row r="25" spans="1:27">
      <c r="A25" s="24"/>
      <c r="B25" s="26"/>
      <c r="C25" s="33" t="s">
        <v>38</v>
      </c>
      <c r="D25" s="33" t="s">
        <v>18</v>
      </c>
      <c r="E25" s="26"/>
      <c r="F25" s="27" t="s">
        <v>11</v>
      </c>
      <c r="G25" s="33" t="s">
        <v>20</v>
      </c>
      <c r="H25" s="27" t="s">
        <v>22</v>
      </c>
      <c r="I25" s="33" t="s">
        <v>6</v>
      </c>
      <c r="J25" s="27" t="s">
        <v>7</v>
      </c>
      <c r="K25" s="26"/>
      <c r="L25" s="25"/>
      <c r="M25" s="26"/>
      <c r="N25" s="26"/>
      <c r="O25" s="26"/>
    </row>
    <row r="26" spans="1:27">
      <c r="A26" s="24"/>
      <c r="B26" s="26"/>
      <c r="C26" s="32"/>
      <c r="D26" s="10">
        <v>2.75</v>
      </c>
      <c r="E26" s="32"/>
      <c r="F26" s="31" t="str">
        <f>IFERROR(lift/I26,"")</f>
        <v/>
      </c>
      <c r="G26" s="31">
        <f>(D26-wd)*PI()</f>
        <v>7.4612825522757582</v>
      </c>
      <c r="H26" s="31">
        <f>I26/G26</f>
        <v>0</v>
      </c>
      <c r="I26" s="31">
        <f>C26/wd*G26</f>
        <v>0</v>
      </c>
      <c r="J26" s="31" t="e">
        <f>(mp*cycrat)/F26</f>
        <v>#VALUE!</v>
      </c>
      <c r="K26" s="13"/>
      <c r="L26" s="25"/>
      <c r="M26" s="26"/>
      <c r="N26" s="26"/>
      <c r="O26" s="26"/>
    </row>
    <row r="27" spans="1:27">
      <c r="A27" s="24"/>
      <c r="B27" s="26"/>
      <c r="C27" s="32"/>
      <c r="D27" s="11">
        <v>3.75</v>
      </c>
      <c r="E27" s="32"/>
      <c r="F27" s="31" t="str">
        <f>IFERROR(lift/I27,"")</f>
        <v/>
      </c>
      <c r="G27" s="31">
        <f>(D27-wd)*PI()</f>
        <v>10.602875205865551</v>
      </c>
      <c r="H27" s="31">
        <f>I27/G27</f>
        <v>0</v>
      </c>
      <c r="I27" s="31">
        <f>C27/wd*G27</f>
        <v>0</v>
      </c>
      <c r="J27" s="31" t="e">
        <f>(mp*cycrat)/F27</f>
        <v>#VALUE!</v>
      </c>
      <c r="K27" s="13"/>
      <c r="L27" s="25"/>
      <c r="M27" s="26"/>
      <c r="N27" s="26"/>
      <c r="O27" s="26"/>
    </row>
    <row r="28" spans="1:27">
      <c r="A28" s="24"/>
      <c r="B28" s="26"/>
      <c r="C28" s="32"/>
      <c r="D28" s="11">
        <v>2.75</v>
      </c>
      <c r="E28" s="32"/>
      <c r="F28" s="31" t="str">
        <f>IFERROR(lift/I28,"")</f>
        <v/>
      </c>
      <c r="G28" s="31">
        <f>(D28-wd)*PI()</f>
        <v>7.4612825522757582</v>
      </c>
      <c r="H28" s="31">
        <f>I28/G28</f>
        <v>0</v>
      </c>
      <c r="I28" s="31">
        <f>C28/wd*G28</f>
        <v>0</v>
      </c>
      <c r="J28" s="31" t="e">
        <f>(mp*cycrat)/F28</f>
        <v>#VALUE!</v>
      </c>
      <c r="K28" s="13"/>
      <c r="L28" s="25"/>
      <c r="M28" s="26"/>
      <c r="N28" s="26"/>
      <c r="O28" s="26"/>
    </row>
    <row r="29" spans="1:27">
      <c r="A29" s="24"/>
      <c r="B29" s="26"/>
      <c r="C29" s="32"/>
      <c r="D29" s="12">
        <v>2.75</v>
      </c>
      <c r="E29" s="32"/>
      <c r="F29" s="31" t="str">
        <f>IFERROR(lift/I29,"")</f>
        <v/>
      </c>
      <c r="G29" s="31">
        <f>(D29-wd)*PI()</f>
        <v>7.4612825522757582</v>
      </c>
      <c r="H29" s="31">
        <f>I29/G29</f>
        <v>0</v>
      </c>
      <c r="I29" s="31">
        <f>C29/wd*G29</f>
        <v>0</v>
      </c>
      <c r="J29" s="31" t="e">
        <f>(mp*cycrat)/F29</f>
        <v>#VALUE!</v>
      </c>
      <c r="K29" s="13"/>
      <c r="L29" s="25"/>
      <c r="M29" s="26"/>
      <c r="N29" s="26"/>
      <c r="O29" s="26"/>
    </row>
    <row r="30" spans="1:27" ht="15.75" thickBot="1">
      <c r="A30" s="35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7"/>
      <c r="M30" s="26"/>
      <c r="N30" s="26"/>
      <c r="O30" s="26"/>
    </row>
  </sheetData>
  <mergeCells count="9">
    <mergeCell ref="C24:D24"/>
    <mergeCell ref="V10:AA10"/>
    <mergeCell ref="Q6:S6"/>
    <mergeCell ref="Q10:T10"/>
    <mergeCell ref="B4:K4"/>
    <mergeCell ref="C10:I10"/>
    <mergeCell ref="D6:H6"/>
    <mergeCell ref="F14:K14"/>
    <mergeCell ref="C14:D14"/>
  </mergeCells>
  <conditionalFormatting sqref="F16:F22 F26:F29">
    <cfRule type="cellIs" dxfId="3" priority="4" operator="lessThan">
      <formula>INDIRECT("ippt")</formula>
    </cfRule>
  </conditionalFormatting>
  <conditionalFormatting sqref="I12">
    <cfRule type="cellIs" dxfId="2" priority="3" operator="lessThan">
      <formula>INDIRECT("tt")</formula>
    </cfRule>
  </conditionalFormatting>
  <conditionalFormatting sqref="D17:D22 D26:D29">
    <cfRule type="cellIs" dxfId="1" priority="2" operator="lessThan">
      <formula>INDIRECT("VLOOKUP(wd,wirelookup,5,0)")</formula>
    </cfRule>
  </conditionalFormatting>
  <conditionalFormatting sqref="J16:J22 J26:J29">
    <cfRule type="cellIs" dxfId="0" priority="1" operator="lessThan">
      <formula>INDIRECT("tt")</formula>
    </cfRule>
  </conditionalFormatting>
  <dataValidations count="4">
    <dataValidation type="list" allowBlank="1" showInputMessage="1" showErrorMessage="1" sqref="Q14:Q19 F8">
      <formula1>INDIRECT("wirelookup[diameter]")</formula1>
    </dataValidation>
    <dataValidation type="list" allowBlank="1" showInputMessage="1" showErrorMessage="1" sqref="T14:T19 D17:D22 D26:D29">
      <formula1>INDIRECT("odlookup")</formula1>
    </dataValidation>
    <dataValidation type="list" allowBlank="1" showInputMessage="1" showErrorMessage="1" sqref="H8 S8">
      <formula1>INDIRECT("cycles[cycles]")</formula1>
    </dataValidation>
    <dataValidation type="list" allowBlank="1" showInputMessage="1" showErrorMessage="1" sqref="T8">
      <formula1>INDIRECT("pipes[pipesize]")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AB51"/>
  <sheetViews>
    <sheetView topLeftCell="A4" workbookViewId="0">
      <selection activeCell="G23" sqref="G23"/>
    </sheetView>
  </sheetViews>
  <sheetFormatPr defaultRowHeight="15"/>
  <cols>
    <col min="22" max="22" width="11.5703125" customWidth="1"/>
    <col min="23" max="23" width="10.5703125" customWidth="1"/>
  </cols>
  <sheetData>
    <row r="2" spans="2:28">
      <c r="E2" s="2" t="s">
        <v>29</v>
      </c>
      <c r="F2">
        <v>229.8198799199466</v>
      </c>
      <c r="G2">
        <v>4.49</v>
      </c>
    </row>
    <row r="3" spans="2:28">
      <c r="C3" s="17" t="s">
        <v>27</v>
      </c>
      <c r="D3" s="17" t="s">
        <v>18</v>
      </c>
      <c r="E3" s="17" t="s">
        <v>26</v>
      </c>
      <c r="F3" s="17" t="s">
        <v>11</v>
      </c>
      <c r="G3" s="17" t="s">
        <v>20</v>
      </c>
      <c r="H3" s="17" t="s">
        <v>22</v>
      </c>
      <c r="I3" s="17" t="s">
        <v>34</v>
      </c>
      <c r="J3" s="17" t="s">
        <v>130</v>
      </c>
      <c r="K3" s="17"/>
      <c r="T3" s="71" t="s">
        <v>97</v>
      </c>
      <c r="U3" s="71"/>
      <c r="V3" s="71"/>
      <c r="W3" s="71"/>
      <c r="X3" s="71"/>
    </row>
    <row r="4" spans="2:28">
      <c r="B4" s="3" t="s">
        <v>94</v>
      </c>
      <c r="C4">
        <v>0.375</v>
      </c>
      <c r="D4">
        <v>3.75</v>
      </c>
      <c r="E4">
        <v>795.07482148040651</v>
      </c>
      <c r="F4">
        <v>229.8198799199466</v>
      </c>
      <c r="G4">
        <v>10.602875205865551</v>
      </c>
      <c r="H4">
        <v>74.986718794970642</v>
      </c>
      <c r="I4">
        <v>28.120019548113991</v>
      </c>
      <c r="J4">
        <f>E4*PI()*(C4/2)^2</f>
        <v>87.813324077943562</v>
      </c>
      <c r="U4" s="17" t="s">
        <v>50</v>
      </c>
      <c r="V4" s="17" t="s">
        <v>104</v>
      </c>
      <c r="W4" s="17" t="s">
        <v>61</v>
      </c>
      <c r="X4" s="17" t="s">
        <v>105</v>
      </c>
    </row>
    <row r="5" spans="2:28">
      <c r="B5" s="3" t="s">
        <v>25</v>
      </c>
      <c r="C5">
        <v>0.375</v>
      </c>
      <c r="D5">
        <v>3.75</v>
      </c>
      <c r="E5">
        <v>805.81851564578187</v>
      </c>
      <c r="F5">
        <v>226.75577248751256</v>
      </c>
      <c r="G5">
        <v>10.602875205865551</v>
      </c>
      <c r="H5">
        <v>76</v>
      </c>
      <c r="I5">
        <v>28.5</v>
      </c>
      <c r="J5">
        <f t="shared" ref="J5:J51" si="0">E5*PI()*(C5/2)^2</f>
        <v>88.999928749667106</v>
      </c>
      <c r="T5" s="3" t="s">
        <v>98</v>
      </c>
      <c r="U5" s="41">
        <v>0.625</v>
      </c>
      <c r="V5" s="46">
        <v>2780.2279687500004</v>
      </c>
      <c r="W5">
        <f t="shared" ref="W5:W10" si="1">(U5/2)^2*PI()*V5</f>
        <v>852.96325800096429</v>
      </c>
      <c r="X5" s="49">
        <f>W5*0.04</f>
        <v>34.118530320038573</v>
      </c>
      <c r="Z5">
        <v>0.5</v>
      </c>
      <c r="AA5">
        <v>1779.1231896360696</v>
      </c>
      <c r="AB5">
        <v>19.297582558372159</v>
      </c>
    </row>
    <row r="6" spans="2:28">
      <c r="B6" s="3"/>
      <c r="T6" s="3" t="s">
        <v>99</v>
      </c>
      <c r="U6" s="42"/>
      <c r="V6" s="47"/>
      <c r="W6">
        <f t="shared" si="1"/>
        <v>0</v>
      </c>
      <c r="X6" s="49">
        <f t="shared" ref="X6:X11" si="2">W6*0.04</f>
        <v>0</v>
      </c>
      <c r="Z6">
        <v>0.375</v>
      </c>
      <c r="AA6">
        <v>1205.1934817333845</v>
      </c>
    </row>
    <row r="7" spans="2:28">
      <c r="B7" s="3"/>
      <c r="E7" s="2" t="s">
        <v>30</v>
      </c>
      <c r="F7">
        <v>256.6505441354293</v>
      </c>
      <c r="G7">
        <v>4.8</v>
      </c>
      <c r="T7" s="3" t="s">
        <v>100</v>
      </c>
      <c r="U7" s="42"/>
      <c r="V7" s="47"/>
      <c r="W7">
        <f t="shared" si="1"/>
        <v>0</v>
      </c>
      <c r="X7" s="49">
        <f t="shared" si="2"/>
        <v>0</v>
      </c>
    </row>
    <row r="8" spans="2:28">
      <c r="B8" s="3"/>
      <c r="C8" s="17" t="s">
        <v>27</v>
      </c>
      <c r="D8" s="17" t="s">
        <v>18</v>
      </c>
      <c r="E8" s="17" t="s">
        <v>26</v>
      </c>
      <c r="F8" s="17" t="s">
        <v>11</v>
      </c>
      <c r="G8" s="17" t="s">
        <v>20</v>
      </c>
      <c r="H8" s="17" t="s">
        <v>22</v>
      </c>
      <c r="I8" s="17" t="s">
        <v>34</v>
      </c>
      <c r="K8" s="17"/>
      <c r="T8" s="3" t="s">
        <v>101</v>
      </c>
      <c r="U8" s="42"/>
      <c r="V8" s="47"/>
      <c r="W8">
        <f t="shared" si="1"/>
        <v>0</v>
      </c>
      <c r="X8" s="49">
        <f t="shared" si="2"/>
        <v>0</v>
      </c>
      <c r="Z8">
        <v>0.625</v>
      </c>
      <c r="AA8">
        <v>2780.2279687500004</v>
      </c>
      <c r="AB8">
        <v>34.118530320038573</v>
      </c>
    </row>
    <row r="9" spans="2:28">
      <c r="B9" s="3" t="s">
        <v>28</v>
      </c>
      <c r="C9">
        <v>0.40625</v>
      </c>
      <c r="D9">
        <v>3.75</v>
      </c>
      <c r="E9">
        <v>989.9120255359245</v>
      </c>
      <c r="F9">
        <v>254.1094496390389</v>
      </c>
      <c r="G9">
        <v>10.504700435440871</v>
      </c>
      <c r="H9">
        <v>94.235150409063422</v>
      </c>
      <c r="I9">
        <v>38.283029853682017</v>
      </c>
      <c r="J9">
        <f t="shared" si="0"/>
        <v>128.31375943943627</v>
      </c>
      <c r="T9" s="3" t="s">
        <v>102</v>
      </c>
      <c r="U9" s="42"/>
      <c r="V9" s="47"/>
      <c r="W9">
        <f t="shared" si="1"/>
        <v>0</v>
      </c>
      <c r="X9" s="49">
        <f t="shared" si="2"/>
        <v>0</v>
      </c>
    </row>
    <row r="10" spans="2:28">
      <c r="B10" s="3" t="s">
        <v>31</v>
      </c>
      <c r="C10">
        <v>0.40625</v>
      </c>
      <c r="D10">
        <v>3.75</v>
      </c>
      <c r="E10">
        <v>966.43244006056011</v>
      </c>
      <c r="F10">
        <v>260.28306746846914</v>
      </c>
      <c r="G10">
        <v>10.504700435440871</v>
      </c>
      <c r="H10">
        <v>92</v>
      </c>
      <c r="I10">
        <v>37.375</v>
      </c>
      <c r="J10">
        <f t="shared" si="0"/>
        <v>125.27030324867779</v>
      </c>
      <c r="T10" s="3" t="s">
        <v>103</v>
      </c>
      <c r="U10" s="43"/>
      <c r="V10" s="48"/>
      <c r="W10">
        <f t="shared" si="1"/>
        <v>0</v>
      </c>
      <c r="X10" s="49">
        <f t="shared" si="2"/>
        <v>0</v>
      </c>
    </row>
    <row r="11" spans="2:28">
      <c r="B11" s="3" t="s">
        <v>94</v>
      </c>
      <c r="C11">
        <v>0.40625</v>
      </c>
      <c r="D11">
        <v>3.75</v>
      </c>
      <c r="E11">
        <v>980.1109163722025</v>
      </c>
      <c r="F11">
        <v>256.6505441354293</v>
      </c>
      <c r="G11">
        <v>10.504700435440871</v>
      </c>
      <c r="H11">
        <v>93.302129117884576</v>
      </c>
      <c r="I11">
        <v>37.903989954140606</v>
      </c>
      <c r="J11">
        <f t="shared" si="0"/>
        <v>127.04332617765969</v>
      </c>
      <c r="T11" s="50" t="s">
        <v>106</v>
      </c>
      <c r="W11">
        <f>SUM(W5:W10)</f>
        <v>852.96325800096429</v>
      </c>
      <c r="X11" s="49">
        <f t="shared" si="2"/>
        <v>34.118530320038573</v>
      </c>
    </row>
    <row r="12" spans="2:28">
      <c r="B12" s="3"/>
    </row>
    <row r="13" spans="2:28">
      <c r="B13" s="3"/>
      <c r="E13" s="2" t="s">
        <v>32</v>
      </c>
      <c r="F13">
        <v>291.13573407202216</v>
      </c>
      <c r="G13">
        <v>5.0999999999999996</v>
      </c>
    </row>
    <row r="14" spans="2:28">
      <c r="B14" s="3"/>
      <c r="C14" s="17" t="s">
        <v>27</v>
      </c>
      <c r="D14" s="17" t="s">
        <v>18</v>
      </c>
      <c r="E14" s="17" t="s">
        <v>26</v>
      </c>
      <c r="F14" s="17" t="s">
        <v>11</v>
      </c>
      <c r="G14" s="17" t="s">
        <v>20</v>
      </c>
      <c r="H14" s="17" t="s">
        <v>22</v>
      </c>
      <c r="I14" s="17" t="s">
        <v>34</v>
      </c>
      <c r="K14" s="17"/>
    </row>
    <row r="15" spans="2:28">
      <c r="B15" s="3" t="s">
        <v>94</v>
      </c>
      <c r="C15">
        <v>0.4375</v>
      </c>
      <c r="D15">
        <v>3.75</v>
      </c>
      <c r="E15">
        <v>1162.5093054234062</v>
      </c>
      <c r="F15">
        <v>291.13573407202216</v>
      </c>
      <c r="G15">
        <v>10.40652566501619</v>
      </c>
      <c r="H15">
        <v>111.70964670095758</v>
      </c>
      <c r="I15">
        <v>48.872970431668939</v>
      </c>
      <c r="J15">
        <f t="shared" si="0"/>
        <v>174.76016014526303</v>
      </c>
    </row>
    <row r="16" spans="2:28">
      <c r="B16" s="3" t="s">
        <v>31</v>
      </c>
      <c r="C16">
        <v>0.4375</v>
      </c>
      <c r="D16">
        <v>3.75</v>
      </c>
      <c r="E16">
        <v>1147.6911161989285</v>
      </c>
      <c r="F16">
        <v>294.89467612236621</v>
      </c>
      <c r="G16">
        <v>10.40652566501619</v>
      </c>
      <c r="H16">
        <v>110.28571428571431</v>
      </c>
      <c r="I16">
        <v>48.250000000000007</v>
      </c>
      <c r="J16">
        <f t="shared" si="0"/>
        <v>172.53254002226598</v>
      </c>
    </row>
    <row r="17" spans="2:11">
      <c r="B17" s="3"/>
    </row>
    <row r="18" spans="2:11">
      <c r="B18" s="3"/>
      <c r="E18" s="2" t="s">
        <v>33</v>
      </c>
      <c r="F18">
        <v>326.07581967213116</v>
      </c>
      <c r="G18">
        <v>5.4</v>
      </c>
    </row>
    <row r="19" spans="2:11">
      <c r="B19" s="3"/>
      <c r="C19" s="17" t="s">
        <v>27</v>
      </c>
      <c r="D19" s="17" t="s">
        <v>18</v>
      </c>
      <c r="E19" s="17" t="s">
        <v>26</v>
      </c>
      <c r="F19" s="17" t="s">
        <v>11</v>
      </c>
      <c r="G19" s="17" t="s">
        <v>20</v>
      </c>
      <c r="H19" s="17" t="s">
        <v>22</v>
      </c>
      <c r="I19" s="17" t="s">
        <v>34</v>
      </c>
      <c r="K19" s="17"/>
    </row>
    <row r="20" spans="2:11">
      <c r="B20" s="3" t="s">
        <v>94</v>
      </c>
      <c r="C20">
        <v>0.46875</v>
      </c>
      <c r="D20">
        <v>3.75</v>
      </c>
      <c r="E20">
        <v>1367.1881602513747</v>
      </c>
      <c r="F20">
        <v>326.07581967213116</v>
      </c>
      <c r="G20">
        <v>10.308350894591509</v>
      </c>
      <c r="H20">
        <v>132.62918329339161</v>
      </c>
      <c r="I20">
        <v>62.169929668777314</v>
      </c>
      <c r="J20">
        <f t="shared" si="0"/>
        <v>235.93954176566146</v>
      </c>
    </row>
    <row r="21" spans="2:11">
      <c r="B21" s="3" t="s">
        <v>31</v>
      </c>
      <c r="C21">
        <v>0.46875</v>
      </c>
      <c r="D21">
        <v>3.75</v>
      </c>
      <c r="E21">
        <v>1352.4556373704058</v>
      </c>
      <c r="F21">
        <v>329.62781749114328</v>
      </c>
      <c r="G21">
        <v>10.308350894591509</v>
      </c>
      <c r="H21">
        <v>131.19999999999999</v>
      </c>
      <c r="I21">
        <v>61.499999999999993</v>
      </c>
      <c r="J21">
        <f t="shared" si="0"/>
        <v>233.39710847180615</v>
      </c>
    </row>
    <row r="22" spans="2:11">
      <c r="B22" s="3"/>
    </row>
    <row r="23" spans="2:11">
      <c r="B23" s="3"/>
      <c r="E23" s="2" t="s">
        <v>35</v>
      </c>
      <c r="F23">
        <f>(2083-566)/4.19</f>
        <v>362.05250596658709</v>
      </c>
      <c r="G23">
        <v>5.69</v>
      </c>
    </row>
    <row r="24" spans="2:11">
      <c r="B24" s="3"/>
      <c r="C24" s="17" t="s">
        <v>27</v>
      </c>
      <c r="D24" s="17" t="s">
        <v>18</v>
      </c>
      <c r="E24" s="17" t="s">
        <v>26</v>
      </c>
      <c r="F24" s="17" t="s">
        <v>11</v>
      </c>
      <c r="G24" s="17" t="s">
        <v>20</v>
      </c>
      <c r="H24" s="17" t="s">
        <v>22</v>
      </c>
      <c r="I24" s="17" t="s">
        <v>34</v>
      </c>
      <c r="K24" s="17"/>
    </row>
    <row r="25" spans="2:11">
      <c r="B25" s="3" t="s">
        <v>94</v>
      </c>
      <c r="C25">
        <v>0.5</v>
      </c>
      <c r="D25">
        <v>5.625</v>
      </c>
      <c r="E25">
        <v>1595.0725115359262</v>
      </c>
      <c r="F25">
        <v>362.05250596658709</v>
      </c>
      <c r="G25">
        <v>16.100662349647688</v>
      </c>
      <c r="H25">
        <v>99.068751141832948</v>
      </c>
      <c r="I25">
        <v>49.534375570916474</v>
      </c>
      <c r="J25">
        <f t="shared" si="0"/>
        <v>313.19175526151787</v>
      </c>
    </row>
    <row r="26" spans="2:11">
      <c r="B26" s="3" t="s">
        <v>36</v>
      </c>
      <c r="C26">
        <v>0.46875</v>
      </c>
      <c r="D26">
        <v>3.75</v>
      </c>
      <c r="E26">
        <v>1286.4821916450203</v>
      </c>
      <c r="F26">
        <v>346.53180813171468</v>
      </c>
      <c r="G26">
        <v>10.308350894591509</v>
      </c>
      <c r="H26">
        <v>124.8</v>
      </c>
      <c r="I26">
        <v>58.5</v>
      </c>
      <c r="J26">
        <f t="shared" si="0"/>
        <v>222.0118836683034</v>
      </c>
    </row>
    <row r="27" spans="2:11">
      <c r="B27" s="3" t="s">
        <v>37</v>
      </c>
      <c r="C27">
        <v>0.1875</v>
      </c>
      <c r="D27">
        <v>2.75</v>
      </c>
      <c r="E27">
        <v>579.62384458731674</v>
      </c>
      <c r="F27">
        <v>19.70243306351702</v>
      </c>
      <c r="G27">
        <v>8.0503311748238442</v>
      </c>
      <c r="H27">
        <v>72</v>
      </c>
      <c r="I27">
        <v>13.5</v>
      </c>
      <c r="J27">
        <f t="shared" si="0"/>
        <v>16.004373152352418</v>
      </c>
    </row>
    <row r="28" spans="2:11">
      <c r="B28" s="3"/>
    </row>
    <row r="29" spans="2:11">
      <c r="B29" s="3"/>
      <c r="E29" s="2" t="s">
        <v>40</v>
      </c>
      <c r="F29">
        <f>(2413-612)/4.469</f>
        <v>402.99843365406127</v>
      </c>
      <c r="G29">
        <v>5.96</v>
      </c>
    </row>
    <row r="30" spans="2:11">
      <c r="B30" s="3"/>
      <c r="C30" s="17" t="s">
        <v>27</v>
      </c>
      <c r="D30" s="17" t="s">
        <v>18</v>
      </c>
      <c r="E30" s="17" t="s">
        <v>26</v>
      </c>
      <c r="F30" s="17" t="s">
        <v>11</v>
      </c>
      <c r="G30" s="17" t="s">
        <v>20</v>
      </c>
      <c r="H30" s="17" t="s">
        <v>22</v>
      </c>
      <c r="I30" s="17" t="s">
        <v>34</v>
      </c>
      <c r="K30" s="17"/>
    </row>
    <row r="31" spans="2:11">
      <c r="B31" s="3" t="s">
        <v>94</v>
      </c>
      <c r="C31">
        <v>0.5625</v>
      </c>
      <c r="D31">
        <v>5.625</v>
      </c>
      <c r="E31">
        <v>2295.4034625208219</v>
      </c>
      <c r="F31">
        <v>402.99843365406127</v>
      </c>
      <c r="G31">
        <v>15.904312808798327</v>
      </c>
      <c r="H31">
        <v>144.32584985696431</v>
      </c>
      <c r="I31">
        <v>81.18329054454243</v>
      </c>
      <c r="J31">
        <f t="shared" si="0"/>
        <v>570.41897953640535</v>
      </c>
    </row>
    <row r="32" spans="2:11">
      <c r="B32" s="3" t="s">
        <v>36</v>
      </c>
      <c r="C32">
        <v>0.46875</v>
      </c>
      <c r="D32">
        <v>3.75</v>
      </c>
      <c r="E32">
        <v>1346.9578502266238</v>
      </c>
      <c r="F32">
        <v>330.97323715437244</v>
      </c>
      <c r="G32">
        <v>10.308350894591509</v>
      </c>
      <c r="H32">
        <v>130.66666666666666</v>
      </c>
      <c r="I32">
        <v>61.25</v>
      </c>
      <c r="J32">
        <f t="shared" si="0"/>
        <v>232.44833973818092</v>
      </c>
    </row>
    <row r="33" spans="2:21">
      <c r="B33" s="3" t="s">
        <v>37</v>
      </c>
      <c r="C33">
        <v>0.3125</v>
      </c>
      <c r="D33">
        <v>2.75</v>
      </c>
      <c r="E33">
        <v>1188.4645008530185</v>
      </c>
      <c r="F33">
        <v>74.145252076736597</v>
      </c>
      <c r="G33">
        <v>7.6576320931251205</v>
      </c>
      <c r="H33">
        <v>155.19999999999999</v>
      </c>
      <c r="I33">
        <v>48.5</v>
      </c>
      <c r="J33">
        <f t="shared" si="0"/>
        <v>91.154085569631434</v>
      </c>
    </row>
    <row r="34" spans="2:21">
      <c r="B34" s="3"/>
    </row>
    <row r="35" spans="2:21">
      <c r="B35" s="3"/>
      <c r="E35" s="2" t="s">
        <v>41</v>
      </c>
      <c r="F35">
        <f>(2775-697)/4.741</f>
        <v>438.30415524151027</v>
      </c>
      <c r="G35">
        <v>6.4</v>
      </c>
      <c r="P35" s="2" t="s">
        <v>43</v>
      </c>
      <c r="Q35">
        <f>(2946-716)/5.007</f>
        <v>445.376472937887</v>
      </c>
      <c r="R35">
        <v>6.67</v>
      </c>
    </row>
    <row r="36" spans="2:21">
      <c r="B36" s="3"/>
      <c r="C36" s="17" t="s">
        <v>27</v>
      </c>
      <c r="D36" s="17" t="s">
        <v>18</v>
      </c>
      <c r="E36" s="17" t="s">
        <v>26</v>
      </c>
      <c r="F36" s="17" t="s">
        <v>11</v>
      </c>
      <c r="G36" s="17" t="s">
        <v>20</v>
      </c>
      <c r="H36" s="17" t="s">
        <v>22</v>
      </c>
      <c r="I36" s="17" t="s">
        <v>34</v>
      </c>
      <c r="K36" s="17"/>
      <c r="N36" s="17" t="s">
        <v>27</v>
      </c>
      <c r="O36" s="17" t="s">
        <v>18</v>
      </c>
      <c r="P36" s="17" t="s">
        <v>26</v>
      </c>
      <c r="Q36" s="17" t="s">
        <v>11</v>
      </c>
      <c r="R36" s="17" t="s">
        <v>20</v>
      </c>
      <c r="S36" s="17" t="s">
        <v>22</v>
      </c>
      <c r="T36" s="17" t="s">
        <v>34</v>
      </c>
    </row>
    <row r="37" spans="2:21">
      <c r="B37" s="3" t="s">
        <v>94</v>
      </c>
      <c r="C37">
        <v>0.5625</v>
      </c>
      <c r="D37">
        <v>5.625</v>
      </c>
      <c r="E37">
        <v>2110.507027911453</v>
      </c>
      <c r="F37">
        <v>438.30415524151033</v>
      </c>
      <c r="G37">
        <v>15.904312808798327</v>
      </c>
      <c r="H37">
        <v>132.70029666065875</v>
      </c>
      <c r="I37">
        <v>74.643916871620547</v>
      </c>
      <c r="J37">
        <f t="shared" si="0"/>
        <v>524.47131182923454</v>
      </c>
      <c r="M37" s="3" t="s">
        <v>94</v>
      </c>
      <c r="N37">
        <v>0.5625</v>
      </c>
      <c r="O37">
        <v>5.625</v>
      </c>
      <c r="P37">
        <v>2076.9934116591926</v>
      </c>
      <c r="Q37">
        <v>445.376472937887</v>
      </c>
      <c r="R37">
        <v>15.904312808798327</v>
      </c>
      <c r="S37">
        <v>130.59309362364854</v>
      </c>
      <c r="T37">
        <v>73.458615163302312</v>
      </c>
      <c r="U37">
        <f t="shared" ref="U37:U39" si="3">P37*PI()*(N37/2)^2</f>
        <v>516.14301438814118</v>
      </c>
    </row>
    <row r="38" spans="2:21">
      <c r="B38" s="3" t="s">
        <v>36</v>
      </c>
      <c r="C38" s="73" t="s">
        <v>42</v>
      </c>
      <c r="D38" s="73"/>
      <c r="E38" s="73"/>
      <c r="F38" s="73"/>
      <c r="G38" s="73"/>
      <c r="H38" s="73"/>
      <c r="I38" s="73"/>
      <c r="K38" s="69"/>
      <c r="M38" s="3" t="s">
        <v>36</v>
      </c>
      <c r="N38">
        <v>0.4375</v>
      </c>
      <c r="O38">
        <v>3.75</v>
      </c>
      <c r="P38">
        <v>1394.4744391121694</v>
      </c>
      <c r="Q38">
        <v>242.7064925015637</v>
      </c>
      <c r="R38">
        <v>10.40652566501619</v>
      </c>
      <c r="S38">
        <v>134</v>
      </c>
      <c r="T38">
        <v>58.625</v>
      </c>
      <c r="U38">
        <f t="shared" si="3"/>
        <v>209.63150588197598</v>
      </c>
    </row>
    <row r="39" spans="2:21">
      <c r="B39" s="3" t="s">
        <v>37</v>
      </c>
      <c r="C39" s="73"/>
      <c r="D39" s="73"/>
      <c r="E39" s="73"/>
      <c r="F39" s="73"/>
      <c r="G39" s="73"/>
      <c r="H39" s="73"/>
      <c r="I39" s="73"/>
      <c r="K39" s="69"/>
      <c r="M39" s="3" t="s">
        <v>37</v>
      </c>
      <c r="N39">
        <v>0.40625</v>
      </c>
      <c r="O39">
        <v>3.75</v>
      </c>
      <c r="P39">
        <v>1267.0284832900988</v>
      </c>
      <c r="Q39">
        <v>198.53223768640885</v>
      </c>
      <c r="R39">
        <v>10.504700435440871</v>
      </c>
      <c r="S39">
        <v>120.61538461538461</v>
      </c>
      <c r="T39">
        <v>49</v>
      </c>
      <c r="U39">
        <f t="shared" si="3"/>
        <v>164.23397616549062</v>
      </c>
    </row>
    <row r="40" spans="2:21">
      <c r="B40" s="3"/>
    </row>
    <row r="41" spans="2:21">
      <c r="B41" s="3"/>
      <c r="E41" s="2" t="s">
        <v>47</v>
      </c>
      <c r="F41">
        <f>(3133-760)/4.985</f>
        <v>476.02808425275822</v>
      </c>
      <c r="G41">
        <v>6.65</v>
      </c>
    </row>
    <row r="42" spans="2:21">
      <c r="B42" s="3"/>
      <c r="C42" s="17" t="s">
        <v>27</v>
      </c>
      <c r="D42" s="17" t="s">
        <v>18</v>
      </c>
      <c r="E42" s="17" t="s">
        <v>26</v>
      </c>
      <c r="F42" s="17" t="s">
        <v>11</v>
      </c>
      <c r="G42" s="17" t="s">
        <v>20</v>
      </c>
      <c r="H42" s="17" t="s">
        <v>22</v>
      </c>
      <c r="I42" s="17" t="s">
        <v>34</v>
      </c>
      <c r="K42" s="17"/>
    </row>
    <row r="43" spans="2:21">
      <c r="B43" s="3" t="s">
        <v>94</v>
      </c>
      <c r="C43">
        <v>0.625</v>
      </c>
      <c r="D43">
        <v>5.625</v>
      </c>
      <c r="E43">
        <v>2961.8273514538564</v>
      </c>
      <c r="F43">
        <v>476.02808425275816</v>
      </c>
      <c r="G43">
        <v>15.707963267948966</v>
      </c>
      <c r="H43">
        <v>188.55578542746304</v>
      </c>
      <c r="I43">
        <v>117.84736589216439</v>
      </c>
      <c r="J43">
        <f t="shared" si="0"/>
        <v>908.67725083288565</v>
      </c>
    </row>
    <row r="44" spans="2:21">
      <c r="B44" s="3" t="s">
        <v>36</v>
      </c>
      <c r="C44">
        <v>0.4375</v>
      </c>
      <c r="D44">
        <v>3.75</v>
      </c>
      <c r="E44">
        <v>1436.1005417722342</v>
      </c>
      <c r="F44">
        <v>235.67152170441693</v>
      </c>
      <c r="G44">
        <v>10.40652566501619</v>
      </c>
      <c r="H44">
        <v>138</v>
      </c>
      <c r="I44">
        <v>60.375</v>
      </c>
      <c r="J44">
        <f t="shared" si="0"/>
        <v>215.88916277397527</v>
      </c>
    </row>
    <row r="45" spans="2:21">
      <c r="B45" s="3" t="s">
        <v>37</v>
      </c>
      <c r="C45">
        <v>0.4375</v>
      </c>
      <c r="D45">
        <v>3.75</v>
      </c>
      <c r="E45">
        <v>1436.1005417722342</v>
      </c>
      <c r="F45">
        <v>235.67152170441693</v>
      </c>
      <c r="G45">
        <v>10.40652566501619</v>
      </c>
      <c r="H45">
        <v>138</v>
      </c>
      <c r="I45">
        <v>60.375</v>
      </c>
      <c r="J45">
        <f t="shared" si="0"/>
        <v>215.88916277397527</v>
      </c>
    </row>
    <row r="46" spans="2:21">
      <c r="B46" s="3"/>
    </row>
    <row r="47" spans="2:21">
      <c r="B47" s="3"/>
      <c r="E47" s="2" t="s">
        <v>45</v>
      </c>
      <c r="F47">
        <f>(3334-806)/4.985</f>
        <v>507.12136409227679</v>
      </c>
      <c r="G47">
        <v>6.65</v>
      </c>
    </row>
    <row r="48" spans="2:21">
      <c r="B48" s="3"/>
      <c r="C48" s="17" t="s">
        <v>27</v>
      </c>
      <c r="D48" s="17" t="s">
        <v>18</v>
      </c>
      <c r="E48" s="17" t="s">
        <v>26</v>
      </c>
      <c r="F48" s="17" t="s">
        <v>11</v>
      </c>
      <c r="G48" s="17" t="s">
        <v>20</v>
      </c>
      <c r="H48" s="17" t="s">
        <v>22</v>
      </c>
      <c r="I48" s="17" t="s">
        <v>34</v>
      </c>
      <c r="K48" s="17"/>
    </row>
    <row r="49" spans="2:10">
      <c r="B49" s="3" t="s">
        <v>94</v>
      </c>
      <c r="C49">
        <v>0.625</v>
      </c>
      <c r="D49">
        <v>5.625</v>
      </c>
      <c r="E49">
        <v>2780.2279687500004</v>
      </c>
      <c r="F49">
        <v>507.12136409227674</v>
      </c>
      <c r="G49">
        <v>15.707963267948966</v>
      </c>
      <c r="H49">
        <v>176.99480965956084</v>
      </c>
      <c r="I49">
        <v>110.62175603722552</v>
      </c>
      <c r="J49">
        <f t="shared" si="0"/>
        <v>852.96325800096429</v>
      </c>
    </row>
    <row r="50" spans="2:10">
      <c r="B50" s="3" t="s">
        <v>36</v>
      </c>
      <c r="C50">
        <v>0.5</v>
      </c>
      <c r="D50">
        <v>5.625</v>
      </c>
      <c r="E50">
        <v>1779.1231896360696</v>
      </c>
      <c r="F50">
        <v>324.59809605321999</v>
      </c>
      <c r="G50">
        <v>16.100662349647688</v>
      </c>
      <c r="H50">
        <v>110.5</v>
      </c>
      <c r="I50">
        <v>55.25</v>
      </c>
      <c r="J50">
        <f t="shared" si="0"/>
        <v>349.3300213994948</v>
      </c>
    </row>
    <row r="51" spans="2:10">
      <c r="B51" s="3" t="s">
        <v>37</v>
      </c>
      <c r="C51">
        <v>0.375</v>
      </c>
      <c r="D51">
        <v>3.75</v>
      </c>
      <c r="E51">
        <v>1205.1934817333845</v>
      </c>
      <c r="F51">
        <v>151.61383028490573</v>
      </c>
      <c r="G51">
        <v>10.602875205865551</v>
      </c>
      <c r="H51">
        <v>113.66666666666669</v>
      </c>
      <c r="I51">
        <v>42.625</v>
      </c>
      <c r="J51">
        <f t="shared" si="0"/>
        <v>133.10954255980917</v>
      </c>
    </row>
  </sheetData>
  <mergeCells count="2">
    <mergeCell ref="C38:I39"/>
    <mergeCell ref="T3:X3"/>
  </mergeCells>
  <dataValidations count="1">
    <dataValidation type="list" allowBlank="1" showInputMessage="1" showErrorMessage="1" sqref="U5:U10">
      <formula1>INDIRECT("wirelookup[diameter]")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filterMode="1"/>
  <dimension ref="A2:AC56"/>
  <sheetViews>
    <sheetView workbookViewId="0">
      <selection activeCell="A48" sqref="A48"/>
    </sheetView>
  </sheetViews>
  <sheetFormatPr defaultRowHeight="15"/>
  <cols>
    <col min="1" max="1" width="22.28515625" customWidth="1"/>
    <col min="4" max="4" width="9.7109375" customWidth="1"/>
    <col min="5" max="5" width="11.7109375" customWidth="1"/>
    <col min="6" max="8" width="15.85546875" customWidth="1"/>
    <col min="12" max="12" width="16.42578125" customWidth="1"/>
    <col min="14" max="14" width="18.7109375" customWidth="1"/>
    <col min="15" max="15" width="10.28515625" customWidth="1"/>
    <col min="16" max="16" width="11.140625" customWidth="1"/>
    <col min="18" max="18" width="12.5703125" customWidth="1"/>
    <col min="21" max="21" width="11.5703125" customWidth="1"/>
    <col min="22" max="22" width="11.7109375" customWidth="1"/>
    <col min="27" max="27" width="11.7109375" customWidth="1"/>
  </cols>
  <sheetData>
    <row r="2" spans="1:29">
      <c r="A2" t="s">
        <v>68</v>
      </c>
      <c r="B2" t="s">
        <v>50</v>
      </c>
      <c r="C2" t="s">
        <v>18</v>
      </c>
      <c r="D2" s="2" t="s">
        <v>52</v>
      </c>
      <c r="E2" s="2" t="s">
        <v>53</v>
      </c>
      <c r="F2" s="2" t="s">
        <v>54</v>
      </c>
      <c r="G2" s="2" t="s">
        <v>62</v>
      </c>
      <c r="H2" s="2" t="s">
        <v>63</v>
      </c>
      <c r="L2" s="71" t="s">
        <v>56</v>
      </c>
      <c r="M2" s="71"/>
      <c r="N2" s="71"/>
      <c r="O2" s="71"/>
      <c r="Q2" s="71" t="s">
        <v>60</v>
      </c>
      <c r="R2" s="71"/>
      <c r="S2" s="71"/>
    </row>
    <row r="3" spans="1:29">
      <c r="A3" t="str">
        <f>B3&amp;" WD X "&amp;C3&amp;" OD"</f>
        <v>0.2187 WD X 2.5 OD</v>
      </c>
      <c r="B3">
        <v>0.21870000000000001</v>
      </c>
      <c r="C3">
        <v>2.5</v>
      </c>
      <c r="D3">
        <v>6.9129186602870796</v>
      </c>
      <c r="E3">
        <f t="shared" ref="E3:E28" si="0">(12/B3)*((C3-B3)*PI())</f>
        <v>393.24638247651001</v>
      </c>
      <c r="F3">
        <f>D3/E3</f>
        <v>1.7579102995817164E-2</v>
      </c>
      <c r="G3">
        <f>PI()*(B3/2)^2*12</f>
        <v>0.45078420818243159</v>
      </c>
      <c r="H3">
        <f>F3/G3</f>
        <v>3.8996714340762649E-2</v>
      </c>
      <c r="J3" t="s">
        <v>50</v>
      </c>
      <c r="K3" s="2" t="s">
        <v>18</v>
      </c>
      <c r="L3" s="2" t="s">
        <v>34</v>
      </c>
      <c r="M3" s="2" t="s">
        <v>57</v>
      </c>
      <c r="N3" s="2" t="s">
        <v>58</v>
      </c>
      <c r="O3" s="2" t="s">
        <v>52</v>
      </c>
      <c r="Q3" s="2" t="s">
        <v>59</v>
      </c>
      <c r="R3" s="2" t="s">
        <v>50</v>
      </c>
      <c r="S3" s="2" t="s">
        <v>18</v>
      </c>
      <c r="AA3" t="s">
        <v>88</v>
      </c>
    </row>
    <row r="4" spans="1:29">
      <c r="A4" t="str">
        <f t="shared" ref="A4:A28" si="1">B4&amp;" WD X "&amp;C4&amp;" OD"</f>
        <v>0.25 WD X 2.75 OD</v>
      </c>
      <c r="B4">
        <v>0.25</v>
      </c>
      <c r="C4">
        <v>2.75</v>
      </c>
      <c r="D4">
        <v>5.1189999999999998</v>
      </c>
      <c r="E4">
        <f t="shared" si="0"/>
        <v>376.99111843077515</v>
      </c>
      <c r="F4">
        <f t="shared" ref="F4:F28" si="2">D4/E4</f>
        <v>1.3578569228123538E-2</v>
      </c>
      <c r="G4">
        <f t="shared" ref="G4:G28" si="3">PI()*(B4/2)^2*12</f>
        <v>0.58904862254808621</v>
      </c>
      <c r="H4">
        <f t="shared" ref="H4:H28" si="4">F4/G4</f>
        <v>2.3051695069561205E-2</v>
      </c>
      <c r="J4" s="51">
        <v>0.625</v>
      </c>
      <c r="K4" s="51">
        <v>7.75</v>
      </c>
      <c r="L4">
        <v>51</v>
      </c>
      <c r="M4">
        <v>0</v>
      </c>
      <c r="N4">
        <v>324.56</v>
      </c>
      <c r="O4" s="4">
        <f>N4/(L4+((M4*2)/((K4-J4)*PI())))*12</f>
        <v>76.367058823529419</v>
      </c>
      <c r="Q4">
        <v>2.875</v>
      </c>
      <c r="R4">
        <v>0.42180000000000001</v>
      </c>
      <c r="S4" s="4">
        <f>Q4+R4*2</f>
        <v>3.7185999999999999</v>
      </c>
      <c r="Z4" t="s">
        <v>87</v>
      </c>
      <c r="AA4">
        <v>6.1</v>
      </c>
    </row>
    <row r="5" spans="1:29">
      <c r="A5" t="str">
        <f t="shared" si="1"/>
        <v>0.283 WD X 2.75 OD</v>
      </c>
      <c r="B5">
        <v>0.28299999999999997</v>
      </c>
      <c r="C5">
        <v>2.75</v>
      </c>
      <c r="D5">
        <v>12.035229357798165</v>
      </c>
      <c r="E5">
        <f t="shared" si="0"/>
        <v>328.63501384053797</v>
      </c>
      <c r="F5">
        <f t="shared" si="2"/>
        <v>3.6621871836328319E-2</v>
      </c>
      <c r="G5">
        <f t="shared" si="3"/>
        <v>0.75482104210005874</v>
      </c>
      <c r="H5">
        <f t="shared" si="4"/>
        <v>4.851729058114114E-2</v>
      </c>
      <c r="Z5" t="s">
        <v>89</v>
      </c>
      <c r="AA5">
        <v>8.75</v>
      </c>
    </row>
    <row r="6" spans="1:29">
      <c r="A6" t="str">
        <f t="shared" si="1"/>
        <v>0.312 WD X 2.75 OD</v>
      </c>
      <c r="B6">
        <v>0.312</v>
      </c>
      <c r="C6">
        <v>2.75</v>
      </c>
      <c r="D6">
        <v>6.23</v>
      </c>
      <c r="E6">
        <f t="shared" si="0"/>
        <v>294.5847265173814</v>
      </c>
      <c r="F6">
        <f t="shared" si="2"/>
        <v>2.1148414833490736E-2</v>
      </c>
      <c r="G6">
        <f t="shared" si="3"/>
        <v>0.91744558581313451</v>
      </c>
      <c r="H6">
        <f t="shared" si="4"/>
        <v>2.3051410525613721E-2</v>
      </c>
      <c r="Z6" t="s">
        <v>90</v>
      </c>
      <c r="AA6">
        <v>3.65</v>
      </c>
    </row>
    <row r="7" spans="1:29">
      <c r="A7" t="str">
        <f t="shared" si="1"/>
        <v>0.312 WD X 3.75 OD</v>
      </c>
      <c r="B7">
        <v>0.312</v>
      </c>
      <c r="C7">
        <v>3.75</v>
      </c>
      <c r="D7">
        <v>8.7850000000000001</v>
      </c>
      <c r="E7">
        <f t="shared" si="0"/>
        <v>415.41521319391182</v>
      </c>
      <c r="F7">
        <f t="shared" si="2"/>
        <v>2.1147516318568829E-2</v>
      </c>
      <c r="G7">
        <f t="shared" si="3"/>
        <v>0.91744558581313451</v>
      </c>
      <c r="H7">
        <f t="shared" si="4"/>
        <v>2.3050431159713662E-2</v>
      </c>
      <c r="Z7" t="s">
        <v>91</v>
      </c>
      <c r="AA7">
        <v>5.35</v>
      </c>
    </row>
    <row r="8" spans="1:29">
      <c r="A8" t="str">
        <f t="shared" si="1"/>
        <v>0.3125 WD X 3.5 OD</v>
      </c>
      <c r="B8">
        <v>0.3125</v>
      </c>
      <c r="C8">
        <v>3.5</v>
      </c>
      <c r="D8">
        <v>12.563007518796994</v>
      </c>
      <c r="E8">
        <f t="shared" si="0"/>
        <v>384.53094079939063</v>
      </c>
      <c r="F8">
        <f t="shared" si="2"/>
        <v>3.2670992593418123E-2</v>
      </c>
      <c r="G8">
        <f t="shared" si="3"/>
        <v>0.92038847273138469</v>
      </c>
      <c r="H8">
        <f t="shared" si="4"/>
        <v>3.5496959774455099E-2</v>
      </c>
    </row>
    <row r="9" spans="1:29">
      <c r="A9" t="str">
        <f t="shared" si="1"/>
        <v>0.375 WD X 3.75 OD</v>
      </c>
      <c r="B9">
        <v>0.375</v>
      </c>
      <c r="C9">
        <v>3.75</v>
      </c>
      <c r="D9">
        <v>10.365</v>
      </c>
      <c r="E9">
        <f t="shared" si="0"/>
        <v>339.29200658769764</v>
      </c>
      <c r="F9">
        <f t="shared" si="2"/>
        <v>3.0548907132361025E-2</v>
      </c>
      <c r="G9">
        <f t="shared" si="3"/>
        <v>1.3253594007331939</v>
      </c>
      <c r="H9">
        <f t="shared" si="4"/>
        <v>2.3049526879623181E-2</v>
      </c>
    </row>
    <row r="10" spans="1:29">
      <c r="A10" t="str">
        <f t="shared" si="1"/>
        <v>0.375 WD X 4.5 OD</v>
      </c>
      <c r="B10">
        <v>0.375</v>
      </c>
      <c r="C10">
        <v>4.5</v>
      </c>
      <c r="D10">
        <v>18.704598930481286</v>
      </c>
      <c r="E10">
        <f t="shared" si="0"/>
        <v>414.69023027385271</v>
      </c>
      <c r="F10">
        <f t="shared" si="2"/>
        <v>4.5104990580870842E-2</v>
      </c>
      <c r="G10">
        <f t="shared" si="3"/>
        <v>1.3253594007331939</v>
      </c>
      <c r="H10">
        <f t="shared" si="4"/>
        <v>3.4032271213316617E-2</v>
      </c>
      <c r="J10" s="2" t="s">
        <v>50</v>
      </c>
      <c r="K10" s="2" t="s">
        <v>18</v>
      </c>
      <c r="L10" s="2" t="s">
        <v>68</v>
      </c>
      <c r="M10" s="2" t="s">
        <v>70</v>
      </c>
      <c r="O10" s="2" t="s">
        <v>68</v>
      </c>
      <c r="P10" s="2" t="s">
        <v>76</v>
      </c>
      <c r="Q10" s="2" t="s">
        <v>77</v>
      </c>
      <c r="R10" s="2" t="s">
        <v>78</v>
      </c>
      <c r="S10" s="2" t="s">
        <v>69</v>
      </c>
      <c r="U10" s="2" t="s">
        <v>71</v>
      </c>
      <c r="V10" s="2" t="s">
        <v>72</v>
      </c>
      <c r="W10" s="2" t="s">
        <v>73</v>
      </c>
      <c r="Z10" s="2" t="s">
        <v>71</v>
      </c>
      <c r="AA10" s="2" t="s">
        <v>82</v>
      </c>
      <c r="AB10" s="2" t="s">
        <v>61</v>
      </c>
      <c r="AC10" s="2" t="s">
        <v>51</v>
      </c>
    </row>
    <row r="11" spans="1:29">
      <c r="A11" t="str">
        <f t="shared" si="1"/>
        <v>0.3938 WD X 3.625 OD</v>
      </c>
      <c r="B11">
        <v>0.39379999999999998</v>
      </c>
      <c r="C11">
        <v>3.625</v>
      </c>
      <c r="D11">
        <v>17.325714285714287</v>
      </c>
      <c r="E11">
        <f t="shared" si="0"/>
        <v>309.32800961745068</v>
      </c>
      <c r="F11">
        <f t="shared" si="2"/>
        <v>5.6010816179049502E-2</v>
      </c>
      <c r="G11">
        <f t="shared" si="3"/>
        <v>1.4615798635024966</v>
      </c>
      <c r="H11">
        <f t="shared" si="4"/>
        <v>3.8322104441714501E-2</v>
      </c>
      <c r="J11">
        <v>0.25</v>
      </c>
      <c r="K11">
        <v>2.75</v>
      </c>
      <c r="L11" t="str">
        <f>J11&amp;" WD X "&amp;K11&amp;" OD"</f>
        <v>0.25 WD X 2.75 OD</v>
      </c>
      <c r="M11">
        <v>5.1189999999999998</v>
      </c>
      <c r="O11">
        <v>0.1875</v>
      </c>
      <c r="P11" s="15">
        <f>VLOOKUP(O11,wirelookup[],2,0)</f>
        <v>11420</v>
      </c>
      <c r="Q11">
        <f>PI()*(O11/2)^2</f>
        <v>2.7611654181941541E-2</v>
      </c>
      <c r="R11" s="15">
        <f>P11/Q11</f>
        <v>413593.47486934921</v>
      </c>
      <c r="S11">
        <f>R11/(Q11*0.039)</f>
        <v>384075536.51826078</v>
      </c>
      <c r="U11">
        <v>0.1875</v>
      </c>
      <c r="V11" s="15">
        <f>VLOOKUP(U11,wirelookup[],2,0)</f>
        <v>11420</v>
      </c>
      <c r="W11">
        <f>PI()*(U11/2)^2</f>
        <v>2.7611654181941541E-2</v>
      </c>
      <c r="Y11" t="s">
        <v>48</v>
      </c>
      <c r="Z11">
        <v>0.5</v>
      </c>
      <c r="AA11">
        <v>1595.0725115359262</v>
      </c>
      <c r="AB11">
        <f>(Z11/2)^2*PI()*AA11</f>
        <v>313.19175526151787</v>
      </c>
      <c r="AC11">
        <f>AB11*0.04</f>
        <v>12.527670210460714</v>
      </c>
    </row>
    <row r="12" spans="1:29">
      <c r="A12" t="str">
        <f t="shared" si="1"/>
        <v>0.3938 WD X 4.25 OD</v>
      </c>
      <c r="B12">
        <v>0.39379999999999998</v>
      </c>
      <c r="C12">
        <v>4.25</v>
      </c>
      <c r="D12">
        <v>21.266206896551726</v>
      </c>
      <c r="E12">
        <f t="shared" si="0"/>
        <v>369.16027193823135</v>
      </c>
      <c r="F12">
        <f t="shared" si="2"/>
        <v>5.760697592104394E-2</v>
      </c>
      <c r="G12">
        <f t="shared" si="3"/>
        <v>1.4615798635024966</v>
      </c>
      <c r="H12">
        <f t="shared" si="4"/>
        <v>3.9414182802844519E-2</v>
      </c>
      <c r="J12">
        <v>0.312</v>
      </c>
      <c r="K12">
        <v>2.75</v>
      </c>
      <c r="L12" t="str">
        <f t="shared" ref="L12:L19" si="5">J12&amp;" WD X "&amp;K12&amp;" OD"</f>
        <v>0.312 WD X 2.75 OD</v>
      </c>
      <c r="M12">
        <v>6.23</v>
      </c>
      <c r="O12">
        <v>0.25</v>
      </c>
      <c r="P12" s="15">
        <f>VLOOKUP(O12,wirelookup[],2,0)</f>
        <v>36093</v>
      </c>
      <c r="Q12">
        <f t="shared" ref="Q12:Q20" si="6">PI()*(O12/2)^2</f>
        <v>4.9087385212340517E-2</v>
      </c>
      <c r="R12" s="15">
        <f t="shared" ref="R12:R20" si="7">P12/Q12</f>
        <v>735280.5582100196</v>
      </c>
      <c r="S12">
        <f t="shared" ref="S12:S20" si="8">R12/(Q12*0.039)</f>
        <v>384077244.38479662</v>
      </c>
      <c r="U12">
        <v>0.625</v>
      </c>
      <c r="V12" s="15">
        <f>VLOOKUP(U12,wirelookup[],2,0)</f>
        <v>1409913</v>
      </c>
      <c r="W12">
        <f>PI()*(U12/2)^2</f>
        <v>0.30679615757712825</v>
      </c>
    </row>
    <row r="13" spans="1:29">
      <c r="A13" t="str">
        <f t="shared" si="1"/>
        <v>0.406 WD X 3.75 OD</v>
      </c>
      <c r="B13">
        <v>0.40600000000000003</v>
      </c>
      <c r="C13">
        <v>3.75</v>
      </c>
      <c r="D13">
        <v>17.94908707899571</v>
      </c>
      <c r="E13">
        <f t="shared" si="0"/>
        <v>310.50697045135769</v>
      </c>
      <c r="F13">
        <f t="shared" si="2"/>
        <v>5.7805746044620646E-2</v>
      </c>
      <c r="G13">
        <f t="shared" si="3"/>
        <v>1.5535426999413815</v>
      </c>
      <c r="H13">
        <f t="shared" si="4"/>
        <v>3.7208984372815619E-2</v>
      </c>
      <c r="J13">
        <v>0.312</v>
      </c>
      <c r="K13">
        <v>3.75</v>
      </c>
      <c r="L13" t="str">
        <f t="shared" si="5"/>
        <v>0.312 WD X 3.75 OD</v>
      </c>
      <c r="M13">
        <v>8.7850000000000001</v>
      </c>
      <c r="O13">
        <v>0.3125</v>
      </c>
      <c r="P13" s="15">
        <f>VLOOKUP(O13,wirelookup[],2,0)</f>
        <v>88119</v>
      </c>
      <c r="Q13">
        <f t="shared" si="6"/>
        <v>7.6699039394282062E-2</v>
      </c>
      <c r="R13" s="15">
        <f t="shared" si="7"/>
        <v>1148893.1373313824</v>
      </c>
      <c r="S13">
        <f t="shared" si="8"/>
        <v>384083016.23799127</v>
      </c>
      <c r="U13" s="16">
        <f>U11/U12</f>
        <v>0.3</v>
      </c>
      <c r="V13" s="16">
        <f>V11/V12</f>
        <v>8.0997905544526513E-3</v>
      </c>
      <c r="W13" s="16">
        <f>W11/W12</f>
        <v>0.09</v>
      </c>
      <c r="Y13" t="s">
        <v>49</v>
      </c>
      <c r="Z13">
        <v>0.46875</v>
      </c>
      <c r="AA13">
        <v>1286.4821916450203</v>
      </c>
      <c r="AB13">
        <f>(Z13/2)^2*PI()*AA13</f>
        <v>222.0118836683034</v>
      </c>
      <c r="AC13">
        <f>AB13*0.04</f>
        <v>8.8804753467321369</v>
      </c>
    </row>
    <row r="14" spans="1:29" ht="15.75" customHeight="1">
      <c r="A14" t="str">
        <f t="shared" si="1"/>
        <v>0.4218 WD X 3.7186 OD</v>
      </c>
      <c r="B14">
        <v>0.42180000000000001</v>
      </c>
      <c r="C14">
        <v>3.7185999999999999</v>
      </c>
      <c r="D14">
        <v>14.603478260869563</v>
      </c>
      <c r="E14">
        <f t="shared" si="0"/>
        <v>294.65725918505916</v>
      </c>
      <c r="F14">
        <f t="shared" si="2"/>
        <v>4.9560897638357061E-2</v>
      </c>
      <c r="G14">
        <f t="shared" si="3"/>
        <v>1.6768116328369949</v>
      </c>
      <c r="H14">
        <f t="shared" si="4"/>
        <v>2.9556627988383561E-2</v>
      </c>
      <c r="J14">
        <v>0.375</v>
      </c>
      <c r="K14">
        <v>3.75</v>
      </c>
      <c r="L14" t="str">
        <f t="shared" si="5"/>
        <v>0.375 WD X 3.75 OD</v>
      </c>
      <c r="M14">
        <v>10.365</v>
      </c>
      <c r="O14">
        <v>0.375</v>
      </c>
      <c r="P14" s="15">
        <f>VLOOKUP(O14,wirelookup[],2,0)</f>
        <v>182724</v>
      </c>
      <c r="Q14">
        <f t="shared" si="6"/>
        <v>0.11044661672776616</v>
      </c>
      <c r="R14" s="15">
        <f t="shared" si="7"/>
        <v>1654410.1160688915</v>
      </c>
      <c r="S14">
        <f t="shared" si="8"/>
        <v>384083944.47659087</v>
      </c>
      <c r="U14" s="75" t="s">
        <v>74</v>
      </c>
      <c r="V14" s="75"/>
      <c r="W14" s="75"/>
      <c r="Y14" s="14" t="s">
        <v>86</v>
      </c>
      <c r="Z14">
        <v>0.1875</v>
      </c>
      <c r="AA14">
        <v>579.62384458731674</v>
      </c>
      <c r="AB14">
        <f>(Z14/2)^2*PI()*AA14</f>
        <v>16.004373152352418</v>
      </c>
      <c r="AC14">
        <f>AB14*0.04</f>
        <v>0.64017492609409676</v>
      </c>
    </row>
    <row r="15" spans="1:29">
      <c r="A15" t="str">
        <f t="shared" si="1"/>
        <v>0.43 WD X 3.75 OD</v>
      </c>
      <c r="B15">
        <v>0.43</v>
      </c>
      <c r="C15">
        <v>3.75</v>
      </c>
      <c r="D15">
        <v>22.361465968586387</v>
      </c>
      <c r="E15">
        <f t="shared" si="0"/>
        <v>291.0722123698078</v>
      </c>
      <c r="F15">
        <f t="shared" si="2"/>
        <v>7.6824461485097389E-2</v>
      </c>
      <c r="G15">
        <f t="shared" si="3"/>
        <v>1.7426414449462582</v>
      </c>
      <c r="H15">
        <f t="shared" si="4"/>
        <v>4.4085065064814064E-2</v>
      </c>
      <c r="J15">
        <v>0.40600000000000003</v>
      </c>
      <c r="K15">
        <v>3.75</v>
      </c>
      <c r="L15" t="str">
        <f t="shared" si="5"/>
        <v>0.406 WD X 3.75 OD</v>
      </c>
      <c r="M15">
        <v>11.1195</v>
      </c>
      <c r="O15">
        <v>0.40625</v>
      </c>
      <c r="P15" s="15">
        <f>VLOOKUP(O15,wirelookup[],2,0)</f>
        <v>251546</v>
      </c>
      <c r="Q15">
        <f t="shared" si="6"/>
        <v>0.12962137657633668</v>
      </c>
      <c r="R15" s="15">
        <f t="shared" si="7"/>
        <v>1940621.2666771009</v>
      </c>
      <c r="S15">
        <f t="shared" si="8"/>
        <v>383883592.14101392</v>
      </c>
      <c r="U15" s="75"/>
      <c r="V15" s="75"/>
      <c r="W15" s="75"/>
      <c r="AB15">
        <f>SUM(AB13:AB14)</f>
        <v>238.01625682065583</v>
      </c>
      <c r="AC15">
        <f>SUM(AC13:AC14)</f>
        <v>9.5206502728262343</v>
      </c>
    </row>
    <row r="16" spans="1:29" ht="15" customHeight="1">
      <c r="A16" t="str">
        <f t="shared" si="1"/>
        <v>0.437 WD X 3.75 OD</v>
      </c>
      <c r="B16">
        <v>0.437</v>
      </c>
      <c r="C16">
        <v>3.75</v>
      </c>
      <c r="D16">
        <v>11.8575</v>
      </c>
      <c r="E16">
        <f t="shared" si="0"/>
        <v>285.80585248539091</v>
      </c>
      <c r="F16">
        <f t="shared" si="2"/>
        <v>4.1487953787111835E-2</v>
      </c>
      <c r="G16">
        <f t="shared" si="3"/>
        <v>1.7998404223901678</v>
      </c>
      <c r="H16">
        <f t="shared" si="4"/>
        <v>2.3050906775399733E-2</v>
      </c>
      <c r="J16">
        <v>0.437</v>
      </c>
      <c r="K16">
        <v>3.75</v>
      </c>
      <c r="L16" t="str">
        <f t="shared" si="5"/>
        <v>0.437 WD X 3.75 OD</v>
      </c>
      <c r="M16">
        <v>11.8575</v>
      </c>
      <c r="O16">
        <v>0.4375</v>
      </c>
      <c r="P16" s="15">
        <f>VLOOKUP(O16,wirelookup[],2,0)</f>
        <v>338448</v>
      </c>
      <c r="Q16">
        <f t="shared" si="6"/>
        <v>0.15033011721279282</v>
      </c>
      <c r="R16" s="15">
        <f t="shared" si="7"/>
        <v>2251365.237219403</v>
      </c>
      <c r="S16">
        <f t="shared" si="8"/>
        <v>384003650.4005599</v>
      </c>
      <c r="V16" s="74" t="s">
        <v>75</v>
      </c>
      <c r="W16" s="74"/>
      <c r="X16" s="74"/>
    </row>
    <row r="17" spans="1:29">
      <c r="A17" t="str">
        <f t="shared" si="1"/>
        <v>0.453 WD X 5.75 OD</v>
      </c>
      <c r="B17">
        <v>0.45300000000000001</v>
      </c>
      <c r="C17">
        <v>5.75</v>
      </c>
      <c r="D17">
        <v>36.898666666666664</v>
      </c>
      <c r="E17">
        <f t="shared" si="0"/>
        <v>440.82162347192411</v>
      </c>
      <c r="F17">
        <f t="shared" si="2"/>
        <v>8.3704302833539967E-2</v>
      </c>
      <c r="G17">
        <f t="shared" si="3"/>
        <v>1.9340492605515238</v>
      </c>
      <c r="H17">
        <f t="shared" si="4"/>
        <v>4.3279302415322352E-2</v>
      </c>
      <c r="J17">
        <v>0.46800000000000003</v>
      </c>
      <c r="K17">
        <v>3.75</v>
      </c>
      <c r="L17" t="str">
        <f t="shared" si="5"/>
        <v>0.468 WD X 3.75 OD</v>
      </c>
      <c r="M17">
        <v>12.579499999999999</v>
      </c>
      <c r="O17">
        <v>0.46875</v>
      </c>
      <c r="P17" s="15">
        <f>VLOOKUP(O17,wirelookup[],2,0)</f>
        <v>445807</v>
      </c>
      <c r="Q17">
        <f t="shared" si="6"/>
        <v>0.17257283863713463</v>
      </c>
      <c r="R17" s="15">
        <f t="shared" si="7"/>
        <v>2583297.6007156563</v>
      </c>
      <c r="S17">
        <f t="shared" si="8"/>
        <v>383828651.95622289</v>
      </c>
      <c r="V17" s="74"/>
      <c r="W17" s="74"/>
      <c r="X17" s="74"/>
      <c r="Y17" t="s">
        <v>48</v>
      </c>
      <c r="Z17">
        <v>0.5625</v>
      </c>
      <c r="AA17">
        <v>2295.4034625208219</v>
      </c>
      <c r="AB17">
        <f>(Z17/2)^2*PI()*AA17</f>
        <v>570.41897953640523</v>
      </c>
      <c r="AC17">
        <f>AB17*0.04</f>
        <v>22.816759181456209</v>
      </c>
    </row>
    <row r="18" spans="1:29">
      <c r="A18" t="str">
        <f t="shared" si="1"/>
        <v>0.468 WD X 3.75 OD</v>
      </c>
      <c r="B18">
        <v>0.46800000000000003</v>
      </c>
      <c r="C18">
        <v>3.75</v>
      </c>
      <c r="D18">
        <v>12.579499999999999</v>
      </c>
      <c r="E18">
        <f t="shared" si="0"/>
        <v>264.37710484824873</v>
      </c>
      <c r="F18">
        <f t="shared" si="2"/>
        <v>4.75816542707833E-2</v>
      </c>
      <c r="G18">
        <f t="shared" si="3"/>
        <v>2.0642525680795529</v>
      </c>
      <c r="H18">
        <f t="shared" si="4"/>
        <v>2.3050306443387493E-2</v>
      </c>
      <c r="J18">
        <v>0.46800000000000003</v>
      </c>
      <c r="K18">
        <v>5.75</v>
      </c>
      <c r="L18" t="str">
        <f t="shared" si="5"/>
        <v>0.468 WD X 5.75 OD</v>
      </c>
      <c r="M18">
        <v>20.209499999999998</v>
      </c>
      <c r="O18">
        <v>0.5</v>
      </c>
      <c r="P18" s="15">
        <f>VLOOKUP(O18,wirelookup[],2,0)</f>
        <v>577500</v>
      </c>
      <c r="Q18">
        <f t="shared" si="6"/>
        <v>0.19634954084936207</v>
      </c>
      <c r="R18" s="15">
        <f t="shared" si="7"/>
        <v>2941183.3483382259</v>
      </c>
      <c r="S18">
        <f t="shared" si="8"/>
        <v>384085225.37649274</v>
      </c>
      <c r="V18" s="74"/>
      <c r="W18" s="74"/>
      <c r="X18" s="74"/>
    </row>
    <row r="19" spans="1:29">
      <c r="A19" t="str">
        <f t="shared" si="1"/>
        <v>0.468 WD X 5.75 OD</v>
      </c>
      <c r="B19">
        <v>0.46800000000000003</v>
      </c>
      <c r="C19">
        <v>5.75</v>
      </c>
      <c r="D19">
        <v>20.209499999999998</v>
      </c>
      <c r="E19">
        <f t="shared" si="0"/>
        <v>425.48442041695608</v>
      </c>
      <c r="F19">
        <f t="shared" si="2"/>
        <v>4.7497626306024492E-2</v>
      </c>
      <c r="G19">
        <f t="shared" si="3"/>
        <v>2.0642525680795529</v>
      </c>
      <c r="H19">
        <f t="shared" si="4"/>
        <v>2.3009600201303472E-2</v>
      </c>
      <c r="J19">
        <v>0.5</v>
      </c>
      <c r="K19">
        <v>5.75</v>
      </c>
      <c r="L19" t="str">
        <f t="shared" si="5"/>
        <v>0.5 WD X 5.75 OD</v>
      </c>
      <c r="M19">
        <v>21.498999999999999</v>
      </c>
      <c r="O19">
        <v>0.5625</v>
      </c>
      <c r="P19" s="15">
        <f>VLOOKUP(O19,wirelookup[],2,0)</f>
        <v>925044</v>
      </c>
      <c r="Q19">
        <f t="shared" si="6"/>
        <v>0.24850488763747386</v>
      </c>
      <c r="R19" s="15">
        <f t="shared" si="7"/>
        <v>3722437.8514014622</v>
      </c>
      <c r="S19">
        <f t="shared" si="8"/>
        <v>384085501.50591135</v>
      </c>
      <c r="Y19" t="s">
        <v>49</v>
      </c>
      <c r="Z19">
        <v>0.46875</v>
      </c>
      <c r="AA19">
        <v>1346.9578502266238</v>
      </c>
      <c r="AB19">
        <f>(Z19/2)^2*PI()*AA19</f>
        <v>232.44833973818089</v>
      </c>
      <c r="AC19">
        <f>AB19*0.04</f>
        <v>9.2979335895272364</v>
      </c>
    </row>
    <row r="20" spans="1:29">
      <c r="A20" t="str">
        <f t="shared" si="1"/>
        <v>0.468 WD X 5.875 OD</v>
      </c>
      <c r="B20">
        <v>0.46800000000000003</v>
      </c>
      <c r="C20">
        <v>5.875</v>
      </c>
      <c r="D20">
        <v>39.400199999999998</v>
      </c>
      <c r="E20">
        <f t="shared" si="0"/>
        <v>435.55362764000029</v>
      </c>
      <c r="F20">
        <f t="shared" si="2"/>
        <v>9.0460043263755313E-2</v>
      </c>
      <c r="G20">
        <f t="shared" si="3"/>
        <v>2.0642525680795529</v>
      </c>
      <c r="H20">
        <f t="shared" si="4"/>
        <v>4.3822177897500925E-2</v>
      </c>
      <c r="O20">
        <v>0.625</v>
      </c>
      <c r="P20" s="15">
        <f>VLOOKUP(O20,wirelookup[],2,0)</f>
        <v>1409913</v>
      </c>
      <c r="Q20">
        <f t="shared" si="6"/>
        <v>0.30679615757712825</v>
      </c>
      <c r="R20" s="15">
        <f t="shared" si="7"/>
        <v>4595601.8847646397</v>
      </c>
      <c r="S20">
        <f t="shared" si="8"/>
        <v>384085467.9986403</v>
      </c>
      <c r="U20">
        <v>0.375</v>
      </c>
      <c r="V20">
        <v>182724</v>
      </c>
      <c r="W20">
        <v>0.11044661672776616</v>
      </c>
      <c r="Y20" s="14" t="s">
        <v>86</v>
      </c>
      <c r="Z20">
        <v>0.3125</v>
      </c>
      <c r="AA20">
        <v>1188.4645008530185</v>
      </c>
      <c r="AB20">
        <f>(Z20/2)^2*PI()*AA20</f>
        <v>91.154085569631434</v>
      </c>
      <c r="AC20">
        <f>AB20*0.04</f>
        <v>3.6461634227852575</v>
      </c>
    </row>
    <row r="21" spans="1:29">
      <c r="A21" t="str">
        <f t="shared" si="1"/>
        <v>0.46875 WD X 3.75 OD</v>
      </c>
      <c r="B21">
        <v>0.46875</v>
      </c>
      <c r="C21">
        <v>3.75</v>
      </c>
      <c r="D21">
        <v>23.726741573033706</v>
      </c>
      <c r="E21">
        <f t="shared" si="0"/>
        <v>263.89378290154264</v>
      </c>
      <c r="F21">
        <f t="shared" si="2"/>
        <v>8.9910195352673486E-2</v>
      </c>
      <c r="G21">
        <f t="shared" si="3"/>
        <v>2.0708740636456158</v>
      </c>
      <c r="H21">
        <f t="shared" si="4"/>
        <v>4.3416544217272895E-2</v>
      </c>
      <c r="U21">
        <v>0.5625</v>
      </c>
      <c r="V21">
        <v>925044</v>
      </c>
      <c r="W21">
        <v>0.24850488763747386</v>
      </c>
      <c r="AA21">
        <f>MAX(AA19:AA20)</f>
        <v>1346.9578502266238</v>
      </c>
      <c r="AB21">
        <f>SUM(AB19:AB20)</f>
        <v>323.60242530781233</v>
      </c>
      <c r="AC21">
        <f>SUM(AC19:AC20)</f>
        <v>12.944097012312493</v>
      </c>
    </row>
    <row r="22" spans="1:29" ht="17.25">
      <c r="A22" t="str">
        <f t="shared" si="1"/>
        <v>0.49 WD X 3.825 OD</v>
      </c>
      <c r="B22">
        <v>0.49</v>
      </c>
      <c r="C22">
        <v>3.8250000000000002</v>
      </c>
      <c r="D22">
        <v>25.629197080291966</v>
      </c>
      <c r="E22">
        <f t="shared" si="0"/>
        <v>256.5847714217623</v>
      </c>
      <c r="F22">
        <f t="shared" si="2"/>
        <v>9.988588542600553E-2</v>
      </c>
      <c r="G22">
        <f t="shared" si="3"/>
        <v>2.2628891883807278</v>
      </c>
      <c r="H22">
        <f t="shared" si="4"/>
        <v>4.4140864669330808E-2</v>
      </c>
      <c r="N22" s="2" t="s">
        <v>71</v>
      </c>
      <c r="O22" s="2" t="s">
        <v>79</v>
      </c>
      <c r="P22" s="15"/>
      <c r="Q22" s="2" t="s">
        <v>71</v>
      </c>
      <c r="R22" s="2" t="s">
        <v>61</v>
      </c>
      <c r="S22" s="2" t="s">
        <v>80</v>
      </c>
      <c r="U22">
        <f>U20/U21</f>
        <v>0.66666666666666663</v>
      </c>
      <c r="V22">
        <f>V20/V21</f>
        <v>0.19753006343482041</v>
      </c>
      <c r="W22">
        <f>W20/W21</f>
        <v>0.44444444444444448</v>
      </c>
    </row>
    <row r="23" spans="1:29">
      <c r="A23" t="str">
        <f t="shared" si="1"/>
        <v>0.5 WD X 5.75 OD</v>
      </c>
      <c r="B23">
        <v>0.5</v>
      </c>
      <c r="C23">
        <v>5.75</v>
      </c>
      <c r="D23">
        <v>21.498999999999999</v>
      </c>
      <c r="E23">
        <f t="shared" si="0"/>
        <v>395.84067435231395</v>
      </c>
      <c r="F23">
        <f t="shared" si="2"/>
        <v>5.4312255897343772E-2</v>
      </c>
      <c r="G23">
        <f t="shared" si="3"/>
        <v>2.3561944901923448</v>
      </c>
      <c r="H23">
        <f t="shared" si="4"/>
        <v>2.3050837324091213E-2</v>
      </c>
      <c r="N23">
        <v>0.1875</v>
      </c>
      <c r="O23" s="15">
        <f>9000000*N23^3.9999</f>
        <v>11125.51945642984</v>
      </c>
      <c r="Q23">
        <v>0.1875</v>
      </c>
      <c r="R23">
        <v>2.7611654181941541E-2</v>
      </c>
      <c r="S23">
        <f>10000000*R23^1.9999</f>
        <v>7626.77161824828</v>
      </c>
      <c r="U23" s="74" t="s">
        <v>81</v>
      </c>
      <c r="V23" s="74"/>
      <c r="W23" s="74"/>
    </row>
    <row r="24" spans="1:29">
      <c r="A24" t="str">
        <f t="shared" si="1"/>
        <v>0.531 WD X 5.625 OD</v>
      </c>
      <c r="B24">
        <v>0.53100000000000003</v>
      </c>
      <c r="C24">
        <v>5.625</v>
      </c>
      <c r="D24">
        <v>36.380856423173803</v>
      </c>
      <c r="E24">
        <f t="shared" si="0"/>
        <v>361.65588649460801</v>
      </c>
      <c r="F24">
        <f t="shared" si="2"/>
        <v>0.1005952281761525</v>
      </c>
      <c r="G24">
        <f t="shared" si="3"/>
        <v>2.657419818596495</v>
      </c>
      <c r="H24">
        <f t="shared" si="4"/>
        <v>3.7854473528116252E-2</v>
      </c>
      <c r="N24">
        <v>0.25</v>
      </c>
      <c r="O24" s="15">
        <f t="shared" ref="O24:O32" si="9">9000000*N24^3.9999</f>
        <v>35161.124028947452</v>
      </c>
      <c r="Q24">
        <v>0.25</v>
      </c>
      <c r="R24">
        <v>4.9087385212340517E-2</v>
      </c>
      <c r="S24">
        <f t="shared" ref="S24:S32" si="10">10000000*R24^1.9999</f>
        <v>24102.977781819973</v>
      </c>
      <c r="U24" s="74"/>
      <c r="V24" s="74"/>
      <c r="W24" s="74"/>
    </row>
    <row r="25" spans="1:29">
      <c r="A25" t="str">
        <f t="shared" si="1"/>
        <v>0.56 WD X 7.390625 OD</v>
      </c>
      <c r="B25">
        <v>0.56000000000000005</v>
      </c>
      <c r="C25">
        <v>7.390625</v>
      </c>
      <c r="D25">
        <v>63.109565217391307</v>
      </c>
      <c r="E25">
        <f t="shared" si="0"/>
        <v>459.83659970200233</v>
      </c>
      <c r="F25">
        <f t="shared" si="2"/>
        <v>0.13724345834648555</v>
      </c>
      <c r="G25">
        <f t="shared" si="3"/>
        <v>2.9556103684972777</v>
      </c>
      <c r="H25">
        <f t="shared" si="4"/>
        <v>4.6434895414264057E-2</v>
      </c>
      <c r="N25">
        <v>0.3125</v>
      </c>
      <c r="O25" s="15">
        <f t="shared" si="9"/>
        <v>85840.672460676011</v>
      </c>
      <c r="Q25">
        <v>0.3125</v>
      </c>
      <c r="R25">
        <v>7.6699039394282062E-2</v>
      </c>
      <c r="S25">
        <f t="shared" si="10"/>
        <v>58842.534475124296</v>
      </c>
    </row>
    <row r="26" spans="1:29">
      <c r="A26" t="str">
        <f t="shared" si="1"/>
        <v>0.562 WD X 7.375 OD</v>
      </c>
      <c r="B26">
        <v>0.56200000000000006</v>
      </c>
      <c r="C26">
        <v>7.375</v>
      </c>
      <c r="D26">
        <v>38.289678228165478</v>
      </c>
      <c r="E26">
        <f t="shared" si="0"/>
        <v>457.01788075958558</v>
      </c>
      <c r="F26">
        <f t="shared" si="2"/>
        <v>8.3781575820460683E-2</v>
      </c>
      <c r="G26">
        <f t="shared" si="3"/>
        <v>2.9767595702412444</v>
      </c>
      <c r="H26">
        <f t="shared" si="4"/>
        <v>2.8145227669049134E-2</v>
      </c>
      <c r="N26">
        <v>0.375</v>
      </c>
      <c r="O26" s="15">
        <f t="shared" si="9"/>
        <v>177995.97313458112</v>
      </c>
      <c r="Q26">
        <v>0.375</v>
      </c>
      <c r="R26">
        <v>0.11044661672776616</v>
      </c>
      <c r="S26">
        <f t="shared" si="10"/>
        <v>122011.4303437154</v>
      </c>
    </row>
    <row r="27" spans="1:29">
      <c r="A27" t="str">
        <f t="shared" si="1"/>
        <v>0.625 WD X 7.375 OD</v>
      </c>
      <c r="B27">
        <v>0.625</v>
      </c>
      <c r="C27">
        <v>7.375</v>
      </c>
      <c r="D27">
        <v>56.066865671641793</v>
      </c>
      <c r="E27">
        <f t="shared" si="0"/>
        <v>407.15040790523716</v>
      </c>
      <c r="F27">
        <f t="shared" si="2"/>
        <v>0.1377055372733193</v>
      </c>
      <c r="G27">
        <f t="shared" si="3"/>
        <v>3.6815538909255388</v>
      </c>
      <c r="H27">
        <f t="shared" si="4"/>
        <v>3.740418892488364E-2</v>
      </c>
      <c r="N27">
        <v>0.40625</v>
      </c>
      <c r="O27" s="15">
        <f t="shared" si="9"/>
        <v>245163.11232659296</v>
      </c>
      <c r="Q27">
        <v>0.40625</v>
      </c>
      <c r="R27">
        <v>0.12962137657633668</v>
      </c>
      <c r="S27">
        <f t="shared" si="10"/>
        <v>168051.34434957162</v>
      </c>
    </row>
    <row r="28" spans="1:29">
      <c r="A28" t="str">
        <f t="shared" si="1"/>
        <v>0.625 WD X 7.5 OD</v>
      </c>
      <c r="B28">
        <v>0.625</v>
      </c>
      <c r="C28">
        <v>7.5</v>
      </c>
      <c r="D28">
        <v>49.659404553415058</v>
      </c>
      <c r="E28">
        <f t="shared" si="0"/>
        <v>414.69023027385271</v>
      </c>
      <c r="F28">
        <f t="shared" si="2"/>
        <v>0.11975060160115426</v>
      </c>
      <c r="G28">
        <f t="shared" si="3"/>
        <v>3.6815538909255388</v>
      </c>
      <c r="H28">
        <f t="shared" si="4"/>
        <v>3.2527189645741972E-2</v>
      </c>
      <c r="N28">
        <v>0.4375</v>
      </c>
      <c r="O28" s="15">
        <f t="shared" si="9"/>
        <v>329754.43181714648</v>
      </c>
      <c r="Q28">
        <v>0.4375</v>
      </c>
      <c r="R28">
        <v>0.15033011721279282</v>
      </c>
      <c r="S28">
        <f t="shared" si="10"/>
        <v>226034.26907660929</v>
      </c>
    </row>
    <row r="29" spans="1:29">
      <c r="N29">
        <v>0.46875</v>
      </c>
      <c r="O29" s="15">
        <f t="shared" si="9"/>
        <v>434550.78445688257</v>
      </c>
      <c r="Q29">
        <v>0.46875</v>
      </c>
      <c r="R29">
        <v>0.17257283863713463</v>
      </c>
      <c r="S29">
        <f t="shared" si="10"/>
        <v>297866.17493273062</v>
      </c>
    </row>
    <row r="30" spans="1:29">
      <c r="A30" s="2" t="s">
        <v>67</v>
      </c>
      <c r="B30" s="2" t="s">
        <v>50</v>
      </c>
      <c r="C30" s="2" t="s">
        <v>18</v>
      </c>
      <c r="D30" s="2" t="s">
        <v>55</v>
      </c>
      <c r="E30" s="2" t="s">
        <v>64</v>
      </c>
      <c r="F30" s="2" t="s">
        <v>65</v>
      </c>
      <c r="G30" s="2" t="s">
        <v>66</v>
      </c>
      <c r="H30" s="2" t="s">
        <v>62</v>
      </c>
      <c r="N30">
        <v>0.5</v>
      </c>
      <c r="O30" s="15">
        <f t="shared" si="9"/>
        <v>562538.99088021182</v>
      </c>
      <c r="Q30">
        <v>0.5</v>
      </c>
      <c r="R30">
        <v>0.19634954084936207</v>
      </c>
      <c r="S30">
        <f t="shared" si="10"/>
        <v>385594.18609916326</v>
      </c>
    </row>
    <row r="31" spans="1:29">
      <c r="A31" t="b">
        <f>IFERROR(VLOOKUP(D31,$A$3:$H$28,4,0)=VLOOKUP(D31,$L$11:$M$19,2,0),FALSE)</f>
        <v>0</v>
      </c>
      <c r="B31">
        <v>0.21870000000000001</v>
      </c>
      <c r="C31">
        <v>2.5</v>
      </c>
      <c r="D31" t="str">
        <f t="shared" ref="D31:D56" si="11">B31&amp;" WD X "&amp;C31&amp;" OD"</f>
        <v>0.2187 WD X 2.5 OD</v>
      </c>
      <c r="E31">
        <v>1.7579102995817171E-2</v>
      </c>
      <c r="F31">
        <v>3.8996714340762663E-2</v>
      </c>
      <c r="G31">
        <f t="shared" ref="G31:G56" si="12">(MAX($E$31:$F$56)-MIN($E$31:$F$56))*((H31-MIN($H$31:$H$56))/(MAX($H$31:$H$56)-MIN($H$31:$H$56)))+MIN($E$31:$F$56)</f>
        <v>1.3578569228123538E-2</v>
      </c>
      <c r="H31">
        <v>0.45078420818243159</v>
      </c>
      <c r="N31">
        <v>0.5625</v>
      </c>
      <c r="O31" s="15">
        <f t="shared" si="9"/>
        <v>901068.07808655081</v>
      </c>
      <c r="Q31">
        <v>0.5625</v>
      </c>
      <c r="R31">
        <v>0.24850488763747386</v>
      </c>
      <c r="S31">
        <f t="shared" si="10"/>
        <v>617632.77837595239</v>
      </c>
    </row>
    <row r="32" spans="1:29" hidden="1">
      <c r="A32" t="b">
        <f t="shared" ref="A32:A56" si="13">IFERROR(VLOOKUP(D32,$A$3:$H$28,4,0)=VLOOKUP(D32,$L$11:$M$19,2,0),FALSE)</f>
        <v>1</v>
      </c>
      <c r="B32">
        <v>0.25</v>
      </c>
      <c r="C32">
        <v>2.75</v>
      </c>
      <c r="D32" t="str">
        <f t="shared" si="11"/>
        <v>0.25 WD X 2.75 OD</v>
      </c>
      <c r="E32">
        <v>1.3578569228123538E-2</v>
      </c>
      <c r="F32">
        <v>2.3051695069561205E-2</v>
      </c>
      <c r="G32">
        <f t="shared" si="12"/>
        <v>1.8890722129466079E-2</v>
      </c>
      <c r="H32">
        <v>0.58904862254808621</v>
      </c>
      <c r="N32">
        <v>0.625</v>
      </c>
      <c r="O32" s="15">
        <f t="shared" si="9"/>
        <v>1373355.5623179825</v>
      </c>
      <c r="Q32">
        <v>0.625</v>
      </c>
      <c r="R32">
        <v>0.30679615757712825</v>
      </c>
      <c r="S32">
        <f t="shared" si="10"/>
        <v>941350.04373033519</v>
      </c>
    </row>
    <row r="33" spans="1:8">
      <c r="A33" t="b">
        <f t="shared" si="13"/>
        <v>0</v>
      </c>
      <c r="B33">
        <v>0.28299999999999997</v>
      </c>
      <c r="C33">
        <v>2.75</v>
      </c>
      <c r="D33" t="str">
        <f t="shared" si="11"/>
        <v>0.283 WD X 2.75 OD</v>
      </c>
      <c r="E33">
        <v>3.6621871836328319E-2</v>
      </c>
      <c r="F33">
        <v>4.851729058114114E-2</v>
      </c>
      <c r="G33">
        <f t="shared" si="12"/>
        <v>2.5259739374617264E-2</v>
      </c>
      <c r="H33">
        <v>0.75482104210005874</v>
      </c>
    </row>
    <row r="34" spans="1:8" hidden="1">
      <c r="A34" t="b">
        <f t="shared" si="13"/>
        <v>1</v>
      </c>
      <c r="B34">
        <v>0.312</v>
      </c>
      <c r="C34">
        <v>2.75</v>
      </c>
      <c r="D34" t="str">
        <f t="shared" si="11"/>
        <v>0.312 WD X 2.75 OD</v>
      </c>
      <c r="E34">
        <v>2.1148414833490736E-2</v>
      </c>
      <c r="F34">
        <v>2.3051410525613721E-2</v>
      </c>
      <c r="G34">
        <f t="shared" si="12"/>
        <v>3.1507814453648704E-2</v>
      </c>
      <c r="H34">
        <v>0.91744558581313451</v>
      </c>
    </row>
    <row r="35" spans="1:8" ht="15" hidden="1" customHeight="1">
      <c r="A35" t="b">
        <f t="shared" si="13"/>
        <v>1</v>
      </c>
      <c r="B35">
        <v>0.312</v>
      </c>
      <c r="C35">
        <v>3.75</v>
      </c>
      <c r="D35" t="str">
        <f t="shared" si="11"/>
        <v>0.312 WD X 3.75 OD</v>
      </c>
      <c r="E35">
        <v>2.1147516318568829E-2</v>
      </c>
      <c r="F35">
        <v>2.3050431159713662E-2</v>
      </c>
      <c r="G35">
        <f t="shared" si="12"/>
        <v>3.1507814453648704E-2</v>
      </c>
      <c r="H35">
        <v>0.91744558581313451</v>
      </c>
    </row>
    <row r="36" spans="1:8">
      <c r="A36" t="b">
        <f t="shared" si="13"/>
        <v>0</v>
      </c>
      <c r="B36">
        <v>0.3125</v>
      </c>
      <c r="C36">
        <v>3.5</v>
      </c>
      <c r="D36" t="str">
        <f t="shared" si="11"/>
        <v>0.3125 WD X 3.5 OD</v>
      </c>
      <c r="E36">
        <v>3.2670992593418123E-2</v>
      </c>
      <c r="F36">
        <v>3.5496959774455099E-2</v>
      </c>
      <c r="G36">
        <f t="shared" si="12"/>
        <v>3.1620880894878925E-2</v>
      </c>
      <c r="H36">
        <v>0.92038847273138469</v>
      </c>
    </row>
    <row r="37" spans="1:8" ht="15" hidden="1" customHeight="1">
      <c r="A37" t="b">
        <f t="shared" si="13"/>
        <v>1</v>
      </c>
      <c r="B37">
        <v>0.375</v>
      </c>
      <c r="C37">
        <v>3.75</v>
      </c>
      <c r="D37" t="str">
        <f t="shared" si="11"/>
        <v>0.375 WD X 3.75 OD</v>
      </c>
      <c r="E37">
        <v>3.0548907132361025E-2</v>
      </c>
      <c r="F37">
        <v>2.3049526879623181E-2</v>
      </c>
      <c r="G37">
        <f t="shared" si="12"/>
        <v>4.7179963830383517E-2</v>
      </c>
      <c r="H37">
        <v>1.3253594007331939</v>
      </c>
    </row>
    <row r="38" spans="1:8" ht="15" customHeight="1">
      <c r="A38" t="b">
        <f t="shared" si="13"/>
        <v>0</v>
      </c>
      <c r="B38">
        <v>0.375</v>
      </c>
      <c r="C38">
        <v>4.5</v>
      </c>
      <c r="D38" t="str">
        <f t="shared" si="11"/>
        <v>0.375 WD X 4.5 OD</v>
      </c>
      <c r="E38">
        <v>4.5104990580870842E-2</v>
      </c>
      <c r="F38">
        <v>3.4032271213316617E-2</v>
      </c>
      <c r="G38">
        <f t="shared" si="12"/>
        <v>4.7179963830383517E-2</v>
      </c>
      <c r="H38">
        <v>1.3253594007331939</v>
      </c>
    </row>
    <row r="39" spans="1:8">
      <c r="A39" t="b">
        <f t="shared" si="13"/>
        <v>0</v>
      </c>
      <c r="B39">
        <v>0.39379999999999998</v>
      </c>
      <c r="C39">
        <v>3.625</v>
      </c>
      <c r="D39" t="str">
        <f t="shared" si="11"/>
        <v>0.3938 WD X 3.625 OD</v>
      </c>
      <c r="E39">
        <v>5.6010816179049502E-2</v>
      </c>
      <c r="F39">
        <v>3.8322104441714501E-2</v>
      </c>
      <c r="G39">
        <f t="shared" si="12"/>
        <v>5.2413587607275783E-2</v>
      </c>
      <c r="H39">
        <v>1.4615798635024966</v>
      </c>
    </row>
    <row r="40" spans="1:8" ht="15" customHeight="1">
      <c r="A40" t="b">
        <f t="shared" si="13"/>
        <v>0</v>
      </c>
      <c r="B40">
        <v>0.39379999999999998</v>
      </c>
      <c r="C40">
        <v>4.25</v>
      </c>
      <c r="D40" t="str">
        <f t="shared" si="11"/>
        <v>0.3938 WD X 4.25 OD</v>
      </c>
      <c r="E40">
        <v>5.760697592104394E-2</v>
      </c>
      <c r="F40">
        <v>3.9414182802844519E-2</v>
      </c>
      <c r="G40">
        <f t="shared" si="12"/>
        <v>5.2413587607275783E-2</v>
      </c>
      <c r="H40">
        <v>1.4615798635024966</v>
      </c>
    </row>
    <row r="41" spans="1:8">
      <c r="A41" t="b">
        <f t="shared" si="13"/>
        <v>0</v>
      </c>
      <c r="B41">
        <v>0.40600000000000003</v>
      </c>
      <c r="C41">
        <v>3.75</v>
      </c>
      <c r="D41" t="str">
        <f t="shared" si="11"/>
        <v>0.406 WD X 3.75 OD</v>
      </c>
      <c r="E41">
        <v>5.7805746044620646E-2</v>
      </c>
      <c r="F41">
        <v>3.7208984372815619E-2</v>
      </c>
      <c r="G41">
        <f t="shared" si="12"/>
        <v>5.5946822464891195E-2</v>
      </c>
      <c r="H41">
        <v>1.5535426999413815</v>
      </c>
    </row>
    <row r="42" spans="1:8">
      <c r="A42" t="b">
        <f t="shared" si="13"/>
        <v>0</v>
      </c>
      <c r="B42">
        <v>0.42180000000000001</v>
      </c>
      <c r="C42">
        <v>3.7185999999999999</v>
      </c>
      <c r="D42" t="str">
        <f t="shared" si="11"/>
        <v>0.4218 WD X 3.7186 OD</v>
      </c>
      <c r="E42">
        <v>4.9560897638357061E-2</v>
      </c>
      <c r="F42">
        <v>2.9556627988383561E-2</v>
      </c>
      <c r="G42">
        <f t="shared" si="12"/>
        <v>6.0682845269682338E-2</v>
      </c>
      <c r="H42">
        <v>1.6768116328369949</v>
      </c>
    </row>
    <row r="43" spans="1:8">
      <c r="A43" t="b">
        <f t="shared" si="13"/>
        <v>0</v>
      </c>
      <c r="B43">
        <v>0.43</v>
      </c>
      <c r="C43">
        <v>3.75</v>
      </c>
      <c r="D43" t="str">
        <f t="shared" si="11"/>
        <v>0.43 WD X 3.75 OD</v>
      </c>
      <c r="E43">
        <v>7.6824461485097389E-2</v>
      </c>
      <c r="F43">
        <v>4.4085065064814064E-2</v>
      </c>
      <c r="G43">
        <f t="shared" si="12"/>
        <v>6.3212042887127437E-2</v>
      </c>
      <c r="H43">
        <v>1.7426414449462582</v>
      </c>
    </row>
    <row r="44" spans="1:8" hidden="1">
      <c r="A44" t="b">
        <f t="shared" si="13"/>
        <v>1</v>
      </c>
      <c r="B44">
        <v>0.437</v>
      </c>
      <c r="C44">
        <v>3.75</v>
      </c>
      <c r="D44" t="str">
        <f t="shared" si="11"/>
        <v>0.437 WD X 3.75 OD</v>
      </c>
      <c r="E44">
        <v>4.1487953787111835E-2</v>
      </c>
      <c r="F44">
        <v>2.3050906775399733E-2</v>
      </c>
      <c r="G44">
        <f t="shared" si="12"/>
        <v>6.5409641708028154E-2</v>
      </c>
      <c r="H44">
        <v>1.7998404223901678</v>
      </c>
    </row>
    <row r="45" spans="1:8">
      <c r="A45" t="b">
        <f t="shared" si="13"/>
        <v>0</v>
      </c>
      <c r="B45">
        <v>0.45300000000000001</v>
      </c>
      <c r="C45">
        <v>5.75</v>
      </c>
      <c r="D45" t="str">
        <f t="shared" si="11"/>
        <v>0.453 WD X 5.75 OD</v>
      </c>
      <c r="E45">
        <v>8.3704302833539967E-2</v>
      </c>
      <c r="F45">
        <v>4.3279302415322352E-2</v>
      </c>
      <c r="G45">
        <f t="shared" si="12"/>
        <v>7.0565978371337795E-2</v>
      </c>
      <c r="H45">
        <v>1.9340492605515238</v>
      </c>
    </row>
    <row r="46" spans="1:8" hidden="1">
      <c r="A46" t="b">
        <f t="shared" si="13"/>
        <v>1</v>
      </c>
      <c r="B46">
        <v>0.46800000000000003</v>
      </c>
      <c r="C46">
        <v>3.75</v>
      </c>
      <c r="D46" t="str">
        <f t="shared" si="11"/>
        <v>0.468 WD X 3.75 OD</v>
      </c>
      <c r="E46">
        <v>4.75816542707833E-2</v>
      </c>
      <c r="F46">
        <v>2.3050306443387493E-2</v>
      </c>
      <c r="G46">
        <f t="shared" si="12"/>
        <v>7.556842155979443E-2</v>
      </c>
      <c r="H46">
        <v>2.0642525680795529</v>
      </c>
    </row>
    <row r="47" spans="1:8" ht="15" hidden="1" customHeight="1">
      <c r="A47" t="b">
        <f t="shared" si="13"/>
        <v>1</v>
      </c>
      <c r="B47">
        <v>0.46800000000000003</v>
      </c>
      <c r="C47">
        <v>5.75</v>
      </c>
      <c r="D47" t="str">
        <f t="shared" si="11"/>
        <v>0.468 WD X 5.75 OD</v>
      </c>
      <c r="E47">
        <v>4.7497626306024492E-2</v>
      </c>
      <c r="F47">
        <v>2.3009600201303472E-2</v>
      </c>
      <c r="G47">
        <f t="shared" si="12"/>
        <v>7.556842155979443E-2</v>
      </c>
      <c r="H47">
        <v>2.0642525680795529</v>
      </c>
    </row>
    <row r="48" spans="1:8">
      <c r="A48" t="b">
        <f t="shared" si="13"/>
        <v>0</v>
      </c>
      <c r="B48">
        <v>0.46800000000000003</v>
      </c>
      <c r="C48">
        <v>5.875</v>
      </c>
      <c r="D48" t="str">
        <f t="shared" si="11"/>
        <v>0.468 WD X 5.875 OD</v>
      </c>
      <c r="E48">
        <v>9.0460043263755313E-2</v>
      </c>
      <c r="F48">
        <v>4.3822177897500925E-2</v>
      </c>
      <c r="G48">
        <f t="shared" si="12"/>
        <v>7.556842155979443E-2</v>
      </c>
      <c r="H48">
        <v>2.0642525680795529</v>
      </c>
    </row>
    <row r="49" spans="1:8" ht="15" customHeight="1">
      <c r="A49" t="b">
        <f t="shared" si="13"/>
        <v>0</v>
      </c>
      <c r="B49">
        <v>0.46875</v>
      </c>
      <c r="C49">
        <v>3.75</v>
      </c>
      <c r="D49" t="str">
        <f t="shared" si="11"/>
        <v>0.46875 WD X 3.75 OD</v>
      </c>
      <c r="E49">
        <v>8.9910195352673486E-2</v>
      </c>
      <c r="F49">
        <v>4.3416544217272895E-2</v>
      </c>
      <c r="G49">
        <f t="shared" si="12"/>
        <v>7.5822821052562439E-2</v>
      </c>
      <c r="H49">
        <v>2.0708740636456158</v>
      </c>
    </row>
    <row r="50" spans="1:8" ht="15" customHeight="1">
      <c r="A50" t="b">
        <f t="shared" si="13"/>
        <v>0</v>
      </c>
      <c r="B50">
        <v>0.49</v>
      </c>
      <c r="C50">
        <v>3.8250000000000002</v>
      </c>
      <c r="D50" t="str">
        <f t="shared" si="11"/>
        <v>0.49 WD X 3.825 OD</v>
      </c>
      <c r="E50">
        <v>9.988588542600553E-2</v>
      </c>
      <c r="F50">
        <v>4.4140864669330808E-2</v>
      </c>
      <c r="G50">
        <f t="shared" si="12"/>
        <v>8.3200089503327662E-2</v>
      </c>
      <c r="H50">
        <v>2.2628891883807278</v>
      </c>
    </row>
    <row r="51" spans="1:8" hidden="1">
      <c r="A51" t="b">
        <f t="shared" si="13"/>
        <v>1</v>
      </c>
      <c r="B51">
        <v>0.5</v>
      </c>
      <c r="C51">
        <v>5.75</v>
      </c>
      <c r="D51" t="str">
        <f t="shared" si="11"/>
        <v>0.5 WD X 5.75 OD</v>
      </c>
      <c r="E51">
        <v>5.4312255897343772E-2</v>
      </c>
      <c r="F51">
        <v>2.3050837324091213E-2</v>
      </c>
      <c r="G51">
        <f t="shared" si="12"/>
        <v>8.678490221166793E-2</v>
      </c>
      <c r="H51">
        <v>2.3561944901923448</v>
      </c>
    </row>
    <row r="52" spans="1:8">
      <c r="A52" t="b">
        <f t="shared" si="13"/>
        <v>0</v>
      </c>
      <c r="B52">
        <v>0.53100000000000003</v>
      </c>
      <c r="C52">
        <v>5.625</v>
      </c>
      <c r="D52" t="str">
        <f t="shared" si="11"/>
        <v>0.531 WD X 5.625 OD</v>
      </c>
      <c r="E52">
        <v>0.1005952281761525</v>
      </c>
      <c r="F52">
        <v>3.7854473528116252E-2</v>
      </c>
      <c r="G52">
        <f t="shared" si="12"/>
        <v>9.8358053622906616E-2</v>
      </c>
      <c r="H52">
        <v>2.657419818596495</v>
      </c>
    </row>
    <row r="53" spans="1:8">
      <c r="A53" t="b">
        <f t="shared" si="13"/>
        <v>0</v>
      </c>
      <c r="B53">
        <v>0.56000000000000005</v>
      </c>
      <c r="C53">
        <v>7.390625</v>
      </c>
      <c r="D53" t="str">
        <f t="shared" si="11"/>
        <v>0.56 WD X 7.390625 OD</v>
      </c>
      <c r="E53">
        <v>0.13724345834648555</v>
      </c>
      <c r="F53">
        <v>4.6434895414264057E-2</v>
      </c>
      <c r="G53">
        <f t="shared" si="12"/>
        <v>0.10981460809555081</v>
      </c>
      <c r="H53">
        <v>2.9556103684972777</v>
      </c>
    </row>
    <row r="54" spans="1:8" ht="15" customHeight="1">
      <c r="A54" t="b">
        <f t="shared" si="13"/>
        <v>0</v>
      </c>
      <c r="B54">
        <v>0.56200000000000006</v>
      </c>
      <c r="C54">
        <v>7.375</v>
      </c>
      <c r="D54" t="str">
        <f t="shared" si="11"/>
        <v>0.562 WD X 7.375 OD</v>
      </c>
      <c r="E54">
        <v>8.3781575820460683E-2</v>
      </c>
      <c r="F54">
        <v>2.8145227669049134E-2</v>
      </c>
      <c r="G54">
        <f t="shared" si="12"/>
        <v>0.11062716564277461</v>
      </c>
      <c r="H54">
        <v>2.9767595702412444</v>
      </c>
    </row>
    <row r="55" spans="1:8">
      <c r="A55" t="b">
        <f t="shared" si="13"/>
        <v>0</v>
      </c>
      <c r="B55">
        <v>0.625</v>
      </c>
      <c r="C55">
        <v>7.375</v>
      </c>
      <c r="D55" t="str">
        <f t="shared" si="11"/>
        <v>0.625 WD X 7.375 OD</v>
      </c>
      <c r="E55">
        <v>0.1377055372733193</v>
      </c>
      <c r="F55">
        <v>3.740418892488364E-2</v>
      </c>
      <c r="G55">
        <f t="shared" si="12"/>
        <v>0.1377055372733193</v>
      </c>
      <c r="H55">
        <v>3.6815538909255388</v>
      </c>
    </row>
    <row r="56" spans="1:8">
      <c r="A56" t="b">
        <f t="shared" si="13"/>
        <v>0</v>
      </c>
      <c r="B56">
        <v>0.625</v>
      </c>
      <c r="C56">
        <v>7.5</v>
      </c>
      <c r="D56" t="str">
        <f t="shared" si="11"/>
        <v>0.625 WD X 7.5 OD</v>
      </c>
      <c r="E56">
        <v>0.11975060160115426</v>
      </c>
      <c r="F56">
        <v>3.2527189645741972E-2</v>
      </c>
      <c r="G56">
        <f t="shared" si="12"/>
        <v>0.1377055372733193</v>
      </c>
      <c r="H56">
        <v>3.6815538909255388</v>
      </c>
    </row>
  </sheetData>
  <autoFilter ref="A30:H56">
    <filterColumn colId="0">
      <filters>
        <filter val="FALSE"/>
      </filters>
    </filterColumn>
  </autoFilter>
  <mergeCells count="5">
    <mergeCell ref="U23:W24"/>
    <mergeCell ref="L2:O2"/>
    <mergeCell ref="Q2:S2"/>
    <mergeCell ref="U14:W15"/>
    <mergeCell ref="V16:X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4:AA87"/>
  <sheetViews>
    <sheetView topLeftCell="A31" zoomScaleNormal="100" workbookViewId="0">
      <selection activeCell="E56" sqref="E56"/>
    </sheetView>
  </sheetViews>
  <sheetFormatPr defaultRowHeight="15"/>
  <sheetData>
    <row r="4" spans="1:25">
      <c r="A4">
        <v>0.1875</v>
      </c>
      <c r="B4">
        <v>11420</v>
      </c>
    </row>
    <row r="5" spans="1:25">
      <c r="A5">
        <v>0.25</v>
      </c>
      <c r="B5">
        <v>36093</v>
      </c>
    </row>
    <row r="6" spans="1:25">
      <c r="A6">
        <v>0.3125</v>
      </c>
      <c r="B6">
        <v>88119</v>
      </c>
    </row>
    <row r="7" spans="1:25">
      <c r="A7">
        <v>0.375</v>
      </c>
      <c r="B7">
        <v>182724</v>
      </c>
      <c r="T7" t="s">
        <v>112</v>
      </c>
    </row>
    <row r="8" spans="1:25">
      <c r="A8">
        <v>0.40625</v>
      </c>
      <c r="B8">
        <v>251546</v>
      </c>
    </row>
    <row r="9" spans="1:25">
      <c r="A9">
        <v>0.4375</v>
      </c>
      <c r="B9">
        <v>338448</v>
      </c>
      <c r="T9">
        <v>1</v>
      </c>
      <c r="U9">
        <v>2</v>
      </c>
      <c r="V9">
        <v>3</v>
      </c>
      <c r="W9">
        <v>4</v>
      </c>
      <c r="X9">
        <v>5</v>
      </c>
      <c r="Y9">
        <v>6</v>
      </c>
    </row>
    <row r="10" spans="1:25">
      <c r="A10">
        <v>0.46875</v>
      </c>
      <c r="B10">
        <v>445807</v>
      </c>
      <c r="S10" t="s">
        <v>114</v>
      </c>
      <c r="T10">
        <f t="shared" ref="T10:Y10" si="0">T9^4</f>
        <v>1</v>
      </c>
      <c r="U10">
        <f t="shared" si="0"/>
        <v>16</v>
      </c>
      <c r="V10">
        <f t="shared" si="0"/>
        <v>81</v>
      </c>
      <c r="W10">
        <f t="shared" si="0"/>
        <v>256</v>
      </c>
      <c r="X10">
        <f t="shared" si="0"/>
        <v>625</v>
      </c>
      <c r="Y10">
        <f t="shared" si="0"/>
        <v>1296</v>
      </c>
    </row>
    <row r="11" spans="1:25">
      <c r="A11">
        <v>0.5</v>
      </c>
      <c r="B11">
        <v>577500</v>
      </c>
      <c r="S11" t="s">
        <v>115</v>
      </c>
      <c r="T11">
        <f t="shared" ref="T11:Y11" si="1">T9^2*T9^2</f>
        <v>1</v>
      </c>
      <c r="U11">
        <f t="shared" si="1"/>
        <v>16</v>
      </c>
      <c r="V11">
        <f t="shared" si="1"/>
        <v>81</v>
      </c>
      <c r="W11">
        <f t="shared" si="1"/>
        <v>256</v>
      </c>
      <c r="X11">
        <f t="shared" si="1"/>
        <v>625</v>
      </c>
      <c r="Y11">
        <f t="shared" si="1"/>
        <v>1296</v>
      </c>
    </row>
    <row r="12" spans="1:25">
      <c r="A12">
        <v>0.5625</v>
      </c>
      <c r="B12">
        <v>925044</v>
      </c>
      <c r="S12" t="s">
        <v>116</v>
      </c>
      <c r="T12">
        <f t="shared" ref="T12:Y12" si="2">(T9^2)^2</f>
        <v>1</v>
      </c>
      <c r="U12">
        <f t="shared" si="2"/>
        <v>16</v>
      </c>
      <c r="V12">
        <f t="shared" si="2"/>
        <v>81</v>
      </c>
      <c r="W12">
        <f t="shared" si="2"/>
        <v>256</v>
      </c>
      <c r="X12">
        <f t="shared" si="2"/>
        <v>625</v>
      </c>
      <c r="Y12">
        <f t="shared" si="2"/>
        <v>1296</v>
      </c>
    </row>
    <row r="13" spans="1:25">
      <c r="A13">
        <v>0.625</v>
      </c>
      <c r="B13">
        <v>1409913</v>
      </c>
    </row>
    <row r="20" spans="1:2">
      <c r="A20">
        <v>11420</v>
      </c>
      <c r="B20">
        <v>0.1875</v>
      </c>
    </row>
    <row r="21" spans="1:2">
      <c r="A21">
        <v>36093</v>
      </c>
      <c r="B21">
        <v>0.25</v>
      </c>
    </row>
    <row r="22" spans="1:2">
      <c r="A22">
        <v>88119</v>
      </c>
      <c r="B22">
        <v>0.3125</v>
      </c>
    </row>
    <row r="23" spans="1:2">
      <c r="A23">
        <v>182724</v>
      </c>
      <c r="B23">
        <v>0.375</v>
      </c>
    </row>
    <row r="24" spans="1:2">
      <c r="A24">
        <v>251546</v>
      </c>
      <c r="B24">
        <v>0.40625</v>
      </c>
    </row>
    <row r="25" spans="1:2">
      <c r="A25">
        <v>338448</v>
      </c>
      <c r="B25">
        <v>0.4375</v>
      </c>
    </row>
    <row r="26" spans="1:2">
      <c r="A26">
        <v>445807</v>
      </c>
      <c r="B26">
        <v>0.46875</v>
      </c>
    </row>
    <row r="27" spans="1:2">
      <c r="A27">
        <v>577500</v>
      </c>
      <c r="B27">
        <v>0.5</v>
      </c>
    </row>
    <row r="28" spans="1:2">
      <c r="A28">
        <v>925044</v>
      </c>
      <c r="B28">
        <v>0.5625</v>
      </c>
    </row>
    <row r="29" spans="1:2">
      <c r="A29">
        <v>1409913</v>
      </c>
      <c r="B29">
        <v>0.625</v>
      </c>
    </row>
    <row r="36" spans="1:20">
      <c r="A36">
        <v>2.7611654181941541E-2</v>
      </c>
      <c r="B36">
        <v>11420</v>
      </c>
    </row>
    <row r="37" spans="1:20">
      <c r="A37">
        <v>4.9087385212340517E-2</v>
      </c>
      <c r="B37">
        <v>36093</v>
      </c>
    </row>
    <row r="38" spans="1:20">
      <c r="A38">
        <v>7.6699039394282062E-2</v>
      </c>
      <c r="B38">
        <v>88119</v>
      </c>
    </row>
    <row r="39" spans="1:20">
      <c r="A39">
        <v>0.11044661672776616</v>
      </c>
      <c r="B39">
        <v>182724</v>
      </c>
    </row>
    <row r="40" spans="1:20">
      <c r="A40">
        <v>0.12962137657633668</v>
      </c>
      <c r="B40">
        <v>251546</v>
      </c>
    </row>
    <row r="41" spans="1:20">
      <c r="A41">
        <v>0.15033011721279282</v>
      </c>
      <c r="B41">
        <v>338448</v>
      </c>
    </row>
    <row r="42" spans="1:20">
      <c r="A42">
        <v>0.17257283863713463</v>
      </c>
      <c r="B42">
        <v>445807</v>
      </c>
      <c r="T42" t="s">
        <v>113</v>
      </c>
    </row>
    <row r="43" spans="1:20">
      <c r="A43">
        <v>0.19634954084936207</v>
      </c>
      <c r="B43">
        <v>577500</v>
      </c>
    </row>
    <row r="44" spans="1:20">
      <c r="A44">
        <v>0.24850488763747386</v>
      </c>
      <c r="B44">
        <v>925044</v>
      </c>
    </row>
    <row r="45" spans="1:20">
      <c r="A45">
        <v>0.30679615757712825</v>
      </c>
      <c r="B45">
        <v>1409913</v>
      </c>
    </row>
    <row r="50" spans="1:3">
      <c r="C50" t="s">
        <v>117</v>
      </c>
    </row>
    <row r="51" spans="1:3">
      <c r="A51">
        <v>0.1875</v>
      </c>
      <c r="B51">
        <v>11420</v>
      </c>
      <c r="C51">
        <f>A51^4*PI()^2*1000000</f>
        <v>12198.455146610077</v>
      </c>
    </row>
    <row r="52" spans="1:3">
      <c r="A52">
        <v>0.25</v>
      </c>
      <c r="B52">
        <v>36093</v>
      </c>
      <c r="C52">
        <f t="shared" ref="C52:C60" si="3">A52^4*PI()^2*1000000</f>
        <v>38553.142191755302</v>
      </c>
    </row>
    <row r="53" spans="1:3">
      <c r="A53">
        <v>0.3125</v>
      </c>
      <c r="B53">
        <v>88119</v>
      </c>
      <c r="C53">
        <f t="shared" si="3"/>
        <v>94123.88230409009</v>
      </c>
    </row>
    <row r="54" spans="1:3">
      <c r="A54">
        <v>0.375</v>
      </c>
      <c r="B54">
        <v>182724</v>
      </c>
      <c r="C54">
        <f t="shared" si="3"/>
        <v>195175.28234576122</v>
      </c>
    </row>
    <row r="55" spans="1:3">
      <c r="A55">
        <v>0.40625</v>
      </c>
      <c r="B55">
        <v>251546</v>
      </c>
      <c r="C55">
        <f t="shared" si="3"/>
        <v>268827.22024871176</v>
      </c>
    </row>
    <row r="56" spans="1:3">
      <c r="A56">
        <v>0.4375</v>
      </c>
      <c r="B56">
        <v>338448</v>
      </c>
      <c r="C56">
        <f t="shared" si="3"/>
        <v>361586.30625939253</v>
      </c>
    </row>
    <row r="57" spans="1:3">
      <c r="A57">
        <v>0.46875</v>
      </c>
      <c r="B57">
        <v>445807</v>
      </c>
      <c r="C57">
        <f t="shared" si="3"/>
        <v>476502.15416445612</v>
      </c>
    </row>
    <row r="58" spans="1:3">
      <c r="A58">
        <v>0.5</v>
      </c>
      <c r="B58">
        <v>577500</v>
      </c>
      <c r="C58">
        <f t="shared" si="3"/>
        <v>616850.27506808483</v>
      </c>
    </row>
    <row r="59" spans="1:3">
      <c r="A59">
        <v>0.5625</v>
      </c>
      <c r="B59">
        <v>925044</v>
      </c>
      <c r="C59">
        <f t="shared" si="3"/>
        <v>988074.86687541625</v>
      </c>
    </row>
    <row r="60" spans="1:3">
      <c r="A60">
        <v>0.625</v>
      </c>
      <c r="B60">
        <v>1409913</v>
      </c>
      <c r="C60">
        <f t="shared" si="3"/>
        <v>1505982.1168654414</v>
      </c>
    </row>
    <row r="75" spans="1:27">
      <c r="Q75" t="s">
        <v>84</v>
      </c>
      <c r="R75">
        <f>MAX(B87:M87)</f>
        <v>281982.59999999998</v>
      </c>
      <c r="S75" t="s">
        <v>85</v>
      </c>
      <c r="T75">
        <f>MIN(B87:M87)</f>
        <v>23498.55</v>
      </c>
    </row>
    <row r="77" spans="1:27">
      <c r="B77">
        <v>5</v>
      </c>
      <c r="C77">
        <v>10</v>
      </c>
      <c r="D77">
        <v>15</v>
      </c>
      <c r="E77">
        <v>20</v>
      </c>
      <c r="F77">
        <v>25</v>
      </c>
      <c r="G77">
        <v>30</v>
      </c>
      <c r="H77">
        <v>35</v>
      </c>
      <c r="I77">
        <v>40</v>
      </c>
      <c r="J77">
        <v>45</v>
      </c>
      <c r="K77">
        <v>50</v>
      </c>
      <c r="L77">
        <v>55</v>
      </c>
      <c r="M77">
        <v>60</v>
      </c>
      <c r="P77">
        <v>5</v>
      </c>
      <c r="Q77">
        <v>10</v>
      </c>
      <c r="R77">
        <v>15</v>
      </c>
      <c r="S77">
        <v>20</v>
      </c>
      <c r="T77">
        <v>25</v>
      </c>
      <c r="U77">
        <v>30</v>
      </c>
      <c r="V77">
        <v>35</v>
      </c>
      <c r="W77">
        <v>40</v>
      </c>
      <c r="X77">
        <v>45</v>
      </c>
      <c r="Y77">
        <v>50</v>
      </c>
      <c r="Z77">
        <v>55</v>
      </c>
      <c r="AA77">
        <v>60</v>
      </c>
    </row>
    <row r="78" spans="1:27">
      <c r="A78">
        <v>0.1875</v>
      </c>
      <c r="B78">
        <f>VLOOKUP($A78,wirelookup[],2,0)/B$77</f>
        <v>2284</v>
      </c>
      <c r="C78">
        <f>VLOOKUP($A78,wirelookup[],2,0)/C$77</f>
        <v>1142</v>
      </c>
      <c r="D78">
        <f>VLOOKUP($A78,wirelookup[],2,0)/D$77</f>
        <v>761.33333333333337</v>
      </c>
      <c r="E78">
        <f>VLOOKUP($A78,wirelookup[],2,0)/E$77</f>
        <v>571</v>
      </c>
      <c r="F78">
        <f>VLOOKUP($A78,wirelookup[],2,0)/F$77</f>
        <v>456.8</v>
      </c>
      <c r="G78">
        <f>VLOOKUP($A78,wirelookup[],2,0)/G$77</f>
        <v>380.66666666666669</v>
      </c>
      <c r="H78">
        <f>VLOOKUP($A78,wirelookup[],2,0)/H$77</f>
        <v>326.28571428571428</v>
      </c>
      <c r="I78">
        <f>VLOOKUP($A78,wirelookup[],2,0)/I$77</f>
        <v>285.5</v>
      </c>
      <c r="J78">
        <f>VLOOKUP($A78,wirelookup[],2,0)/J$77</f>
        <v>253.77777777777777</v>
      </c>
      <c r="K78">
        <f>VLOOKUP($A78,wirelookup[],2,0)/K$77</f>
        <v>228.4</v>
      </c>
      <c r="L78">
        <f>VLOOKUP($A78,wirelookup[],2,0)/L$77</f>
        <v>207.63636363636363</v>
      </c>
      <c r="M78">
        <f>VLOOKUP($A78,wirelookup[],2,0)/M$77</f>
        <v>190.33333333333334</v>
      </c>
      <c r="O78">
        <v>0.1875</v>
      </c>
      <c r="P78">
        <f>($R$75-$T$75)*((B78-MIN($B78:$M78))/(MAX($B78:$M78)-MIN($B78:$M78)))+$T$75</f>
        <v>281982.59999999998</v>
      </c>
      <c r="Q78">
        <f t="shared" ref="Q78:AA78" si="4">($R$75-$T$75)*((C78-MIN($B78:$M78))/(MAX($B78:$M78)-MIN($B78:$M78)))+$T$75</f>
        <v>140991.29999999999</v>
      </c>
      <c r="R78">
        <f t="shared" si="4"/>
        <v>93994.200000000012</v>
      </c>
      <c r="S78">
        <f t="shared" si="4"/>
        <v>70495.649999999994</v>
      </c>
      <c r="T78">
        <f t="shared" si="4"/>
        <v>56396.520000000004</v>
      </c>
      <c r="U78">
        <f t="shared" si="4"/>
        <v>46997.100000000006</v>
      </c>
      <c r="V78">
        <f t="shared" si="4"/>
        <v>40283.228571428568</v>
      </c>
      <c r="W78">
        <f t="shared" si="4"/>
        <v>35247.824999999997</v>
      </c>
      <c r="X78">
        <f t="shared" si="4"/>
        <v>31331.399999999998</v>
      </c>
      <c r="Y78">
        <f t="shared" si="4"/>
        <v>28198.26</v>
      </c>
      <c r="Z78">
        <f t="shared" si="4"/>
        <v>25634.781818181815</v>
      </c>
      <c r="AA78">
        <f t="shared" si="4"/>
        <v>23498.55</v>
      </c>
    </row>
    <row r="79" spans="1:27">
      <c r="A79">
        <v>0.25</v>
      </c>
      <c r="B79">
        <f>VLOOKUP($A79,wirelookup[],2,0)/B$77</f>
        <v>7218.6</v>
      </c>
      <c r="C79">
        <f>VLOOKUP($A79,wirelookup[],2,0)/C$77</f>
        <v>3609.3</v>
      </c>
      <c r="D79">
        <f>VLOOKUP($A79,wirelookup[],2,0)/D$77</f>
        <v>2406.1999999999998</v>
      </c>
      <c r="E79">
        <f>VLOOKUP($A79,wirelookup[],2,0)/E$77</f>
        <v>1804.65</v>
      </c>
      <c r="F79">
        <f>VLOOKUP($A79,wirelookup[],2,0)/F$77</f>
        <v>1443.72</v>
      </c>
      <c r="G79">
        <f>VLOOKUP($A79,wirelookup[],2,0)/G$77</f>
        <v>1203.0999999999999</v>
      </c>
      <c r="H79">
        <f>VLOOKUP($A79,wirelookup[],2,0)/H$77</f>
        <v>1031.2285714285715</v>
      </c>
      <c r="I79">
        <f>VLOOKUP($A79,wirelookup[],2,0)/I$77</f>
        <v>902.32500000000005</v>
      </c>
      <c r="J79">
        <f>VLOOKUP($A79,wirelookup[],2,0)/J$77</f>
        <v>802.06666666666672</v>
      </c>
      <c r="K79">
        <f>VLOOKUP($A79,wirelookup[],2,0)/K$77</f>
        <v>721.86</v>
      </c>
      <c r="L79">
        <f>VLOOKUP($A79,wirelookup[],2,0)/L$77</f>
        <v>656.23636363636365</v>
      </c>
      <c r="M79">
        <f>VLOOKUP($A79,wirelookup[],2,0)/M$77</f>
        <v>601.54999999999995</v>
      </c>
      <c r="O79">
        <v>0.25</v>
      </c>
      <c r="P79">
        <f t="shared" ref="P79:P87" si="5">($R$75-$T$75)*((B79-MIN($B79:$M79))/(MAX($B79:$M79)-MIN($B79:$M79)))+$T$75</f>
        <v>281982.59999999998</v>
      </c>
      <c r="Q79">
        <f t="shared" ref="Q79:Q87" si="6">($R$75-$T$75)*((C79-MIN($B79:$M79))/(MAX($B79:$M79)-MIN($B79:$M79)))+$T$75</f>
        <v>140991.29999999999</v>
      </c>
      <c r="R79">
        <f t="shared" ref="R79:R87" si="7">($R$75-$T$75)*((D79-MIN($B79:$M79))/(MAX($B79:$M79)-MIN($B79:$M79)))+$T$75</f>
        <v>93994.2</v>
      </c>
      <c r="S79">
        <f t="shared" ref="S79:S87" si="8">($R$75-$T$75)*((E79-MIN($B79:$M79))/(MAX($B79:$M79)-MIN($B79:$M79)))+$T$75</f>
        <v>70495.649999999994</v>
      </c>
      <c r="T79">
        <f t="shared" ref="T79:T87" si="9">($R$75-$T$75)*((F79-MIN($B79:$M79))/(MAX($B79:$M79)-MIN($B79:$M79)))+$T$75</f>
        <v>56396.520000000004</v>
      </c>
      <c r="U79">
        <f t="shared" ref="U79:U87" si="10">($R$75-$T$75)*((G79-MIN($B79:$M79))/(MAX($B79:$M79)-MIN($B79:$M79)))+$T$75</f>
        <v>46997.099999999991</v>
      </c>
      <c r="V79">
        <f t="shared" ref="V79:V87" si="11">($R$75-$T$75)*((H79-MIN($B79:$M79))/(MAX($B79:$M79)-MIN($B79:$M79)))+$T$75</f>
        <v>40283.228571428575</v>
      </c>
      <c r="W79">
        <f t="shared" ref="W79:W87" si="12">($R$75-$T$75)*((I79-MIN($B79:$M79))/(MAX($B79:$M79)-MIN($B79:$M79)))+$T$75</f>
        <v>35247.825000000004</v>
      </c>
      <c r="X79">
        <f t="shared" ref="X79:X87" si="13">($R$75-$T$75)*((J79-MIN($B79:$M79))/(MAX($B79:$M79)-MIN($B79:$M79)))+$T$75</f>
        <v>31331.4</v>
      </c>
      <c r="Y79">
        <f t="shared" ref="Y79:Y87" si="14">($R$75-$T$75)*((K79-MIN($B79:$M79))/(MAX($B79:$M79)-MIN($B79:$M79)))+$T$75</f>
        <v>28198.260000000002</v>
      </c>
      <c r="Z79">
        <f t="shared" ref="Z79:Z87" si="15">($R$75-$T$75)*((L79-MIN($B79:$M79))/(MAX($B79:$M79)-MIN($B79:$M79)))+$T$75</f>
        <v>25634.781818181818</v>
      </c>
      <c r="AA79">
        <f t="shared" ref="AA79:AA87" si="16">($R$75-$T$75)*((M79-MIN($B79:$M79))/(MAX($B79:$M79)-MIN($B79:$M79)))+$T$75</f>
        <v>23498.55</v>
      </c>
    </row>
    <row r="80" spans="1:27">
      <c r="A80">
        <v>0.3125</v>
      </c>
      <c r="B80">
        <f>VLOOKUP($A80,wirelookup[],2,0)/B$77</f>
        <v>17623.8</v>
      </c>
      <c r="C80">
        <f>VLOOKUP($A80,wirelookup[],2,0)/C$77</f>
        <v>8811.9</v>
      </c>
      <c r="D80">
        <f>VLOOKUP($A80,wirelookup[],2,0)/D$77</f>
        <v>5874.6</v>
      </c>
      <c r="E80">
        <f>VLOOKUP($A80,wirelookup[],2,0)/E$77</f>
        <v>4405.95</v>
      </c>
      <c r="F80">
        <f>VLOOKUP($A80,wirelookup[],2,0)/F$77</f>
        <v>3524.76</v>
      </c>
      <c r="G80">
        <f>VLOOKUP($A80,wirelookup[],2,0)/G$77</f>
        <v>2937.3</v>
      </c>
      <c r="H80">
        <f>VLOOKUP($A80,wirelookup[],2,0)/H$77</f>
        <v>2517.6857142857143</v>
      </c>
      <c r="I80">
        <f>VLOOKUP($A80,wirelookup[],2,0)/I$77</f>
        <v>2202.9749999999999</v>
      </c>
      <c r="J80">
        <f>VLOOKUP($A80,wirelookup[],2,0)/J$77</f>
        <v>1958.2</v>
      </c>
      <c r="K80">
        <f>VLOOKUP($A80,wirelookup[],2,0)/K$77</f>
        <v>1762.38</v>
      </c>
      <c r="L80">
        <f>VLOOKUP($A80,wirelookup[],2,0)/L$77</f>
        <v>1602.1636363636364</v>
      </c>
      <c r="M80">
        <f>VLOOKUP($A80,wirelookup[],2,0)/M$77</f>
        <v>1468.65</v>
      </c>
      <c r="O80">
        <v>0.3125</v>
      </c>
      <c r="P80">
        <f t="shared" si="5"/>
        <v>281982.59999999998</v>
      </c>
      <c r="Q80">
        <f t="shared" si="6"/>
        <v>140991.29999999999</v>
      </c>
      <c r="R80">
        <f t="shared" si="7"/>
        <v>93994.200000000012</v>
      </c>
      <c r="S80">
        <f t="shared" si="8"/>
        <v>70495.649999999994</v>
      </c>
      <c r="T80">
        <f t="shared" si="9"/>
        <v>56396.520000000004</v>
      </c>
      <c r="U80">
        <f t="shared" si="10"/>
        <v>46997.1</v>
      </c>
      <c r="V80">
        <f t="shared" si="11"/>
        <v>40283.228571428568</v>
      </c>
      <c r="W80">
        <f t="shared" si="12"/>
        <v>35247.824999999997</v>
      </c>
      <c r="X80">
        <f t="shared" si="13"/>
        <v>31331.399999999998</v>
      </c>
      <c r="Y80">
        <f t="shared" si="14"/>
        <v>28198.26</v>
      </c>
      <c r="Z80">
        <f t="shared" si="15"/>
        <v>25634.781818181818</v>
      </c>
      <c r="AA80">
        <f t="shared" si="16"/>
        <v>23498.55</v>
      </c>
    </row>
    <row r="81" spans="1:27">
      <c r="A81">
        <v>0.375</v>
      </c>
      <c r="B81">
        <f>VLOOKUP($A81,wirelookup[],2,0)/B$77</f>
        <v>36544.800000000003</v>
      </c>
      <c r="C81">
        <f>VLOOKUP($A81,wirelookup[],2,0)/C$77</f>
        <v>18272.400000000001</v>
      </c>
      <c r="D81">
        <f>VLOOKUP($A81,wirelookup[],2,0)/D$77</f>
        <v>12181.6</v>
      </c>
      <c r="E81">
        <f>VLOOKUP($A81,wirelookup[],2,0)/E$77</f>
        <v>9136.2000000000007</v>
      </c>
      <c r="F81">
        <f>VLOOKUP($A81,wirelookup[],2,0)/F$77</f>
        <v>7308.96</v>
      </c>
      <c r="G81">
        <f>VLOOKUP($A81,wirelookup[],2,0)/G$77</f>
        <v>6090.8</v>
      </c>
      <c r="H81">
        <f>VLOOKUP($A81,wirelookup[],2,0)/H$77</f>
        <v>5220.6857142857143</v>
      </c>
      <c r="I81">
        <f>VLOOKUP($A81,wirelookup[],2,0)/I$77</f>
        <v>4568.1000000000004</v>
      </c>
      <c r="J81">
        <f>VLOOKUP($A81,wirelookup[],2,0)/J$77</f>
        <v>4060.5333333333333</v>
      </c>
      <c r="K81">
        <f>VLOOKUP($A81,wirelookup[],2,0)/K$77</f>
        <v>3654.48</v>
      </c>
      <c r="L81">
        <f>VLOOKUP($A81,wirelookup[],2,0)/L$77</f>
        <v>3322.2545454545457</v>
      </c>
      <c r="M81">
        <f>VLOOKUP($A81,wirelookup[],2,0)/M$77</f>
        <v>3045.4</v>
      </c>
      <c r="O81">
        <v>0.375</v>
      </c>
      <c r="P81">
        <f t="shared" si="5"/>
        <v>281982.59999999998</v>
      </c>
      <c r="Q81">
        <f t="shared" si="6"/>
        <v>140991.29999999999</v>
      </c>
      <c r="R81">
        <f t="shared" si="7"/>
        <v>93994.200000000012</v>
      </c>
      <c r="S81">
        <f t="shared" si="8"/>
        <v>70495.650000000009</v>
      </c>
      <c r="T81">
        <f t="shared" si="9"/>
        <v>56396.51999999999</v>
      </c>
      <c r="U81">
        <f t="shared" si="10"/>
        <v>46997.1</v>
      </c>
      <c r="V81">
        <f t="shared" si="11"/>
        <v>40283.228571428568</v>
      </c>
      <c r="W81">
        <f t="shared" si="12"/>
        <v>35247.824999999997</v>
      </c>
      <c r="X81">
        <f t="shared" si="13"/>
        <v>31331.399999999998</v>
      </c>
      <c r="Y81">
        <f t="shared" si="14"/>
        <v>28198.26</v>
      </c>
      <c r="Z81">
        <f t="shared" si="15"/>
        <v>25634.781818181818</v>
      </c>
      <c r="AA81">
        <f t="shared" si="16"/>
        <v>23498.55</v>
      </c>
    </row>
    <row r="82" spans="1:27">
      <c r="A82">
        <v>0.40625</v>
      </c>
      <c r="B82">
        <f>VLOOKUP($A82,wirelookup[],2,0)/B$77</f>
        <v>50309.2</v>
      </c>
      <c r="C82">
        <f>VLOOKUP($A82,wirelookup[],2,0)/C$77</f>
        <v>25154.6</v>
      </c>
      <c r="D82">
        <f>VLOOKUP($A82,wirelookup[],2,0)/D$77</f>
        <v>16769.733333333334</v>
      </c>
      <c r="E82">
        <f>VLOOKUP($A82,wirelookup[],2,0)/E$77</f>
        <v>12577.3</v>
      </c>
      <c r="F82">
        <f>VLOOKUP($A82,wirelookup[],2,0)/F$77</f>
        <v>10061.84</v>
      </c>
      <c r="G82">
        <f>VLOOKUP($A82,wirelookup[],2,0)/G$77</f>
        <v>8384.8666666666668</v>
      </c>
      <c r="H82">
        <f>VLOOKUP($A82,wirelookup[],2,0)/H$77</f>
        <v>7187.028571428571</v>
      </c>
      <c r="I82">
        <f>VLOOKUP($A82,wirelookup[],2,0)/I$77</f>
        <v>6288.65</v>
      </c>
      <c r="J82">
        <f>VLOOKUP($A82,wirelookup[],2,0)/J$77</f>
        <v>5589.9111111111115</v>
      </c>
      <c r="K82">
        <f>VLOOKUP($A82,wirelookup[],2,0)/K$77</f>
        <v>5030.92</v>
      </c>
      <c r="L82">
        <f>VLOOKUP($A82,wirelookup[],2,0)/L$77</f>
        <v>4573.5636363636368</v>
      </c>
      <c r="M82">
        <f>VLOOKUP($A82,wirelookup[],2,0)/M$77</f>
        <v>4192.4333333333334</v>
      </c>
      <c r="O82">
        <v>0.40625</v>
      </c>
      <c r="P82">
        <f t="shared" si="5"/>
        <v>281982.59999999998</v>
      </c>
      <c r="Q82">
        <f t="shared" si="6"/>
        <v>140991.29999999999</v>
      </c>
      <c r="R82">
        <f t="shared" si="7"/>
        <v>93994.2</v>
      </c>
      <c r="S82">
        <f t="shared" si="8"/>
        <v>70495.649999999994</v>
      </c>
      <c r="T82">
        <f t="shared" si="9"/>
        <v>56396.520000000004</v>
      </c>
      <c r="U82">
        <f t="shared" si="10"/>
        <v>46997.1</v>
      </c>
      <c r="V82">
        <f t="shared" si="11"/>
        <v>40283.228571428568</v>
      </c>
      <c r="W82">
        <f t="shared" si="12"/>
        <v>35247.824999999997</v>
      </c>
      <c r="X82">
        <f t="shared" si="13"/>
        <v>31331.4</v>
      </c>
      <c r="Y82">
        <f t="shared" si="14"/>
        <v>28198.26</v>
      </c>
      <c r="Z82">
        <f t="shared" si="15"/>
        <v>25634.781818181818</v>
      </c>
      <c r="AA82">
        <f t="shared" si="16"/>
        <v>23498.55</v>
      </c>
    </row>
    <row r="83" spans="1:27">
      <c r="A83">
        <v>0.4375</v>
      </c>
      <c r="B83">
        <f>VLOOKUP($A83,wirelookup[],2,0)/B$77</f>
        <v>67689.600000000006</v>
      </c>
      <c r="C83">
        <f>VLOOKUP($A83,wirelookup[],2,0)/C$77</f>
        <v>33844.800000000003</v>
      </c>
      <c r="D83">
        <f>VLOOKUP($A83,wirelookup[],2,0)/D$77</f>
        <v>22563.200000000001</v>
      </c>
      <c r="E83">
        <f>VLOOKUP($A83,wirelookup[],2,0)/E$77</f>
        <v>16922.400000000001</v>
      </c>
      <c r="F83">
        <f>VLOOKUP($A83,wirelookup[],2,0)/F$77</f>
        <v>13537.92</v>
      </c>
      <c r="G83">
        <f>VLOOKUP($A83,wirelookup[],2,0)/G$77</f>
        <v>11281.6</v>
      </c>
      <c r="H83">
        <f>VLOOKUP($A83,wirelookup[],2,0)/H$77</f>
        <v>9669.942857142858</v>
      </c>
      <c r="I83">
        <f>VLOOKUP($A83,wirelookup[],2,0)/I$77</f>
        <v>8461.2000000000007</v>
      </c>
      <c r="J83">
        <f>VLOOKUP($A83,wirelookup[],2,0)/J$77</f>
        <v>7521.0666666666666</v>
      </c>
      <c r="K83">
        <f>VLOOKUP($A83,wirelookup[],2,0)/K$77</f>
        <v>6768.96</v>
      </c>
      <c r="L83">
        <f>VLOOKUP($A83,wirelookup[],2,0)/L$77</f>
        <v>6153.6</v>
      </c>
      <c r="M83">
        <f>VLOOKUP($A83,wirelookup[],2,0)/M$77</f>
        <v>5640.8</v>
      </c>
      <c r="O83">
        <v>0.4375</v>
      </c>
      <c r="P83">
        <f t="shared" si="5"/>
        <v>281982.59999999998</v>
      </c>
      <c r="Q83">
        <f t="shared" si="6"/>
        <v>140991.29999999999</v>
      </c>
      <c r="R83">
        <f t="shared" si="7"/>
        <v>93994.200000000012</v>
      </c>
      <c r="S83">
        <f t="shared" si="8"/>
        <v>70495.650000000009</v>
      </c>
      <c r="T83">
        <f t="shared" si="9"/>
        <v>56396.51999999999</v>
      </c>
      <c r="U83">
        <f t="shared" si="10"/>
        <v>46997.1</v>
      </c>
      <c r="V83">
        <f t="shared" si="11"/>
        <v>40283.228571428568</v>
      </c>
      <c r="W83">
        <f t="shared" si="12"/>
        <v>35247.824999999997</v>
      </c>
      <c r="X83">
        <f t="shared" si="13"/>
        <v>31331.399999999998</v>
      </c>
      <c r="Y83">
        <f t="shared" si="14"/>
        <v>28198.26</v>
      </c>
      <c r="Z83">
        <f t="shared" si="15"/>
        <v>25634.781818181818</v>
      </c>
      <c r="AA83">
        <f t="shared" si="16"/>
        <v>23498.55</v>
      </c>
    </row>
    <row r="84" spans="1:27">
      <c r="A84">
        <v>0.46875</v>
      </c>
      <c r="B84">
        <f>VLOOKUP($A84,wirelookup[],2,0)/B$77</f>
        <v>89161.4</v>
      </c>
      <c r="C84">
        <f>VLOOKUP($A84,wirelookup[],2,0)/C$77</f>
        <v>44580.7</v>
      </c>
      <c r="D84">
        <f>VLOOKUP($A84,wirelookup[],2,0)/D$77</f>
        <v>29720.466666666667</v>
      </c>
      <c r="E84">
        <f>VLOOKUP($A84,wirelookup[],2,0)/E$77</f>
        <v>22290.35</v>
      </c>
      <c r="F84">
        <f>VLOOKUP($A84,wirelookup[],2,0)/F$77</f>
        <v>17832.28</v>
      </c>
      <c r="G84">
        <f>VLOOKUP($A84,wirelookup[],2,0)/G$77</f>
        <v>14860.233333333334</v>
      </c>
      <c r="H84">
        <f>VLOOKUP($A84,wirelookup[],2,0)/H$77</f>
        <v>12737.342857142858</v>
      </c>
      <c r="I84">
        <f>VLOOKUP($A84,wirelookup[],2,0)/I$77</f>
        <v>11145.174999999999</v>
      </c>
      <c r="J84">
        <f>VLOOKUP($A84,wirelookup[],2,0)/J$77</f>
        <v>9906.822222222223</v>
      </c>
      <c r="K84">
        <f>VLOOKUP($A84,wirelookup[],2,0)/K$77</f>
        <v>8916.14</v>
      </c>
      <c r="L84">
        <f>VLOOKUP($A84,wirelookup[],2,0)/L$77</f>
        <v>8105.5818181818186</v>
      </c>
      <c r="M84">
        <f>VLOOKUP($A84,wirelookup[],2,0)/M$77</f>
        <v>7430.1166666666668</v>
      </c>
      <c r="O84">
        <v>0.46875</v>
      </c>
      <c r="P84">
        <f t="shared" si="5"/>
        <v>281982.59999999998</v>
      </c>
      <c r="Q84">
        <f t="shared" si="6"/>
        <v>140991.29999999999</v>
      </c>
      <c r="R84">
        <f t="shared" si="7"/>
        <v>93994.200000000012</v>
      </c>
      <c r="S84">
        <f t="shared" si="8"/>
        <v>70495.649999999994</v>
      </c>
      <c r="T84">
        <f t="shared" si="9"/>
        <v>56396.51999999999</v>
      </c>
      <c r="U84">
        <f t="shared" si="10"/>
        <v>46997.100000000006</v>
      </c>
      <c r="V84">
        <f t="shared" si="11"/>
        <v>40283.228571428568</v>
      </c>
      <c r="W84">
        <f t="shared" si="12"/>
        <v>35247.824999999997</v>
      </c>
      <c r="X84">
        <f t="shared" si="13"/>
        <v>31331.4</v>
      </c>
      <c r="Y84">
        <f t="shared" si="14"/>
        <v>28198.26</v>
      </c>
      <c r="Z84">
        <f t="shared" si="15"/>
        <v>25634.781818181818</v>
      </c>
      <c r="AA84">
        <f t="shared" si="16"/>
        <v>23498.55</v>
      </c>
    </row>
    <row r="85" spans="1:27">
      <c r="A85">
        <v>0.5</v>
      </c>
      <c r="B85">
        <f>VLOOKUP($A85,wirelookup[],2,0)/B$77</f>
        <v>115500</v>
      </c>
      <c r="C85">
        <f>VLOOKUP($A85,wirelookup[],2,0)/C$77</f>
        <v>57750</v>
      </c>
      <c r="D85">
        <f>VLOOKUP($A85,wirelookup[],2,0)/D$77</f>
        <v>38500</v>
      </c>
      <c r="E85">
        <f>VLOOKUP($A85,wirelookup[],2,0)/E$77</f>
        <v>28875</v>
      </c>
      <c r="F85">
        <f>VLOOKUP($A85,wirelookup[],2,0)/F$77</f>
        <v>23100</v>
      </c>
      <c r="G85">
        <f>VLOOKUP($A85,wirelookup[],2,0)/G$77</f>
        <v>19250</v>
      </c>
      <c r="H85">
        <f>VLOOKUP($A85,wirelookup[],2,0)/H$77</f>
        <v>16500</v>
      </c>
      <c r="I85">
        <f>VLOOKUP($A85,wirelookup[],2,0)/I$77</f>
        <v>14437.5</v>
      </c>
      <c r="J85">
        <f>VLOOKUP($A85,wirelookup[],2,0)/J$77</f>
        <v>12833.333333333334</v>
      </c>
      <c r="K85">
        <f>VLOOKUP($A85,wirelookup[],2,0)/K$77</f>
        <v>11550</v>
      </c>
      <c r="L85">
        <f>VLOOKUP($A85,wirelookup[],2,0)/L$77</f>
        <v>10500</v>
      </c>
      <c r="M85">
        <f>VLOOKUP($A85,wirelookup[],2,0)/M$77</f>
        <v>9625</v>
      </c>
      <c r="O85">
        <v>0.5</v>
      </c>
      <c r="P85">
        <f t="shared" si="5"/>
        <v>281982.59999999998</v>
      </c>
      <c r="Q85">
        <f t="shared" si="6"/>
        <v>140991.29999999999</v>
      </c>
      <c r="R85">
        <f t="shared" si="7"/>
        <v>93994.2</v>
      </c>
      <c r="S85">
        <f t="shared" si="8"/>
        <v>70495.649999999994</v>
      </c>
      <c r="T85">
        <f t="shared" si="9"/>
        <v>56396.51999999999</v>
      </c>
      <c r="U85">
        <f t="shared" si="10"/>
        <v>46997.1</v>
      </c>
      <c r="V85">
        <f t="shared" si="11"/>
        <v>40283.228571428568</v>
      </c>
      <c r="W85">
        <f t="shared" si="12"/>
        <v>35247.824999999997</v>
      </c>
      <c r="X85">
        <f t="shared" si="13"/>
        <v>31331.4</v>
      </c>
      <c r="Y85">
        <f t="shared" si="14"/>
        <v>28198.26</v>
      </c>
      <c r="Z85">
        <f t="shared" si="15"/>
        <v>25634.781818181818</v>
      </c>
      <c r="AA85">
        <f t="shared" si="16"/>
        <v>23498.55</v>
      </c>
    </row>
    <row r="86" spans="1:27">
      <c r="A86">
        <v>0.5625</v>
      </c>
      <c r="B86">
        <f>VLOOKUP($A86,wirelookup[],2,0)/B$77</f>
        <v>185008.8</v>
      </c>
      <c r="C86">
        <f>VLOOKUP($A86,wirelookup[],2,0)/C$77</f>
        <v>92504.4</v>
      </c>
      <c r="D86">
        <f>VLOOKUP($A86,wirelookup[],2,0)/D$77</f>
        <v>61669.599999999999</v>
      </c>
      <c r="E86">
        <f>VLOOKUP($A86,wirelookup[],2,0)/E$77</f>
        <v>46252.2</v>
      </c>
      <c r="F86">
        <f>VLOOKUP($A86,wirelookup[],2,0)/F$77</f>
        <v>37001.760000000002</v>
      </c>
      <c r="G86">
        <f>VLOOKUP($A86,wirelookup[],2,0)/G$77</f>
        <v>30834.799999999999</v>
      </c>
      <c r="H86">
        <f>VLOOKUP($A86,wirelookup[],2,0)/H$77</f>
        <v>26429.82857142857</v>
      </c>
      <c r="I86">
        <f>VLOOKUP($A86,wirelookup[],2,0)/I$77</f>
        <v>23126.1</v>
      </c>
      <c r="J86">
        <f>VLOOKUP($A86,wirelookup[],2,0)/J$77</f>
        <v>20556.533333333333</v>
      </c>
      <c r="K86">
        <f>VLOOKUP($A86,wirelookup[],2,0)/K$77</f>
        <v>18500.88</v>
      </c>
      <c r="L86">
        <f>VLOOKUP($A86,wirelookup[],2,0)/L$77</f>
        <v>16818.981818181819</v>
      </c>
      <c r="M86">
        <f>VLOOKUP($A86,wirelookup[],2,0)/M$77</f>
        <v>15417.4</v>
      </c>
      <c r="O86">
        <v>0.5625</v>
      </c>
      <c r="P86">
        <f t="shared" si="5"/>
        <v>281982.59999999998</v>
      </c>
      <c r="Q86">
        <f t="shared" si="6"/>
        <v>140991.29999999999</v>
      </c>
      <c r="R86">
        <f t="shared" si="7"/>
        <v>93994.2</v>
      </c>
      <c r="S86">
        <f t="shared" si="8"/>
        <v>70495.649999999994</v>
      </c>
      <c r="T86">
        <f t="shared" si="9"/>
        <v>56396.520000000004</v>
      </c>
      <c r="U86">
        <f t="shared" si="10"/>
        <v>46997.1</v>
      </c>
      <c r="V86">
        <f t="shared" si="11"/>
        <v>40283.228571428568</v>
      </c>
      <c r="W86">
        <f t="shared" si="12"/>
        <v>35247.824999999997</v>
      </c>
      <c r="X86">
        <f t="shared" si="13"/>
        <v>31331.399999999998</v>
      </c>
      <c r="Y86">
        <f t="shared" si="14"/>
        <v>28198.260000000002</v>
      </c>
      <c r="Z86">
        <f t="shared" si="15"/>
        <v>25634.781818181818</v>
      </c>
      <c r="AA86">
        <f t="shared" si="16"/>
        <v>23498.55</v>
      </c>
    </row>
    <row r="87" spans="1:27">
      <c r="A87">
        <v>0.625</v>
      </c>
      <c r="B87">
        <f>VLOOKUP($A87,wirelookup[],2,0)/B$77</f>
        <v>281982.59999999998</v>
      </c>
      <c r="C87">
        <f>VLOOKUP($A87,wirelookup[],2,0)/C$77</f>
        <v>140991.29999999999</v>
      </c>
      <c r="D87">
        <f>VLOOKUP($A87,wirelookup[],2,0)/D$77</f>
        <v>93994.2</v>
      </c>
      <c r="E87">
        <f>VLOOKUP($A87,wirelookup[],2,0)/E$77</f>
        <v>70495.649999999994</v>
      </c>
      <c r="F87">
        <f>VLOOKUP($A87,wirelookup[],2,0)/F$77</f>
        <v>56396.52</v>
      </c>
      <c r="G87">
        <f>VLOOKUP($A87,wirelookup[],2,0)/G$77</f>
        <v>46997.1</v>
      </c>
      <c r="H87">
        <f>VLOOKUP($A87,wirelookup[],2,0)/H$77</f>
        <v>40283.228571428568</v>
      </c>
      <c r="I87">
        <f>VLOOKUP($A87,wirelookup[],2,0)/I$77</f>
        <v>35247.824999999997</v>
      </c>
      <c r="J87">
        <f>VLOOKUP($A87,wirelookup[],2,0)/J$77</f>
        <v>31331.4</v>
      </c>
      <c r="K87">
        <f>VLOOKUP($A87,wirelookup[],2,0)/K$77</f>
        <v>28198.26</v>
      </c>
      <c r="L87">
        <f>VLOOKUP($A87,wirelookup[],2,0)/L$77</f>
        <v>25634.781818181818</v>
      </c>
      <c r="M87">
        <f>VLOOKUP($A87,wirelookup[],2,0)/M$77</f>
        <v>23498.55</v>
      </c>
      <c r="O87">
        <v>0.625</v>
      </c>
      <c r="P87">
        <f t="shared" si="5"/>
        <v>281982.59999999998</v>
      </c>
      <c r="Q87">
        <f t="shared" si="6"/>
        <v>140991.29999999999</v>
      </c>
      <c r="R87">
        <f t="shared" si="7"/>
        <v>93994.2</v>
      </c>
      <c r="S87">
        <f t="shared" si="8"/>
        <v>70495.649999999994</v>
      </c>
      <c r="T87">
        <f t="shared" si="9"/>
        <v>56396.520000000004</v>
      </c>
      <c r="U87">
        <f t="shared" si="10"/>
        <v>46997.1</v>
      </c>
      <c r="V87">
        <f t="shared" si="11"/>
        <v>40283.228571428568</v>
      </c>
      <c r="W87">
        <f t="shared" si="12"/>
        <v>35247.824999999997</v>
      </c>
      <c r="X87">
        <f t="shared" si="13"/>
        <v>31331.4</v>
      </c>
      <c r="Y87">
        <f t="shared" si="14"/>
        <v>28198.26</v>
      </c>
      <c r="Z87">
        <f t="shared" si="15"/>
        <v>25634.781818181818</v>
      </c>
      <c r="AA87">
        <f t="shared" si="16"/>
        <v>23498.55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O15"/>
  <sheetViews>
    <sheetView workbookViewId="0">
      <selection activeCell="A8" sqref="A8"/>
    </sheetView>
  </sheetViews>
  <sheetFormatPr defaultRowHeight="15"/>
  <cols>
    <col min="1" max="1" width="11.28515625" customWidth="1"/>
    <col min="3" max="3" width="9.85546875" customWidth="1"/>
    <col min="4" max="4" width="11.140625" customWidth="1"/>
    <col min="12" max="12" width="10.5703125" customWidth="1"/>
    <col min="15" max="15" width="34.42578125" customWidth="1"/>
  </cols>
  <sheetData>
    <row r="1" spans="1:15">
      <c r="A1" t="s">
        <v>0</v>
      </c>
      <c r="B1" t="s">
        <v>1</v>
      </c>
      <c r="C1" t="s">
        <v>24</v>
      </c>
      <c r="D1" t="s">
        <v>2</v>
      </c>
      <c r="E1" t="s">
        <v>44</v>
      </c>
      <c r="G1" t="s">
        <v>13</v>
      </c>
      <c r="H1" t="s">
        <v>14</v>
      </c>
      <c r="J1" t="s">
        <v>21</v>
      </c>
      <c r="L1" t="s">
        <v>108</v>
      </c>
    </row>
    <row r="2" spans="1:15">
      <c r="A2">
        <v>0.1875</v>
      </c>
      <c r="B2">
        <v>11420</v>
      </c>
      <c r="C2">
        <v>222500</v>
      </c>
      <c r="D2" s="1">
        <f>wirelookup[[#This Row],[average tensile]]*wirelookup[[#This Row],[diameter]]^3/10.2</f>
        <v>143.79164751838238</v>
      </c>
      <c r="E2">
        <v>2.75</v>
      </c>
      <c r="G2">
        <v>12500</v>
      </c>
      <c r="H2">
        <v>1.0549999999999999</v>
      </c>
      <c r="J2">
        <v>2.75</v>
      </c>
      <c r="L2">
        <v>4.25</v>
      </c>
    </row>
    <row r="3" spans="1:15">
      <c r="A3">
        <v>0.25</v>
      </c>
      <c r="B3">
        <v>36093</v>
      </c>
      <c r="C3">
        <v>212500</v>
      </c>
      <c r="D3" s="1">
        <f>wirelookup[[#This Row],[average tensile]]*wirelookup[[#This Row],[diameter]]^3/10.2</f>
        <v>325.52083333333337</v>
      </c>
      <c r="E3">
        <v>2.75</v>
      </c>
      <c r="G3">
        <v>16500</v>
      </c>
      <c r="H3">
        <v>1</v>
      </c>
      <c r="J3">
        <v>3.75</v>
      </c>
      <c r="L3">
        <v>6.25</v>
      </c>
    </row>
    <row r="4" spans="1:15">
      <c r="A4">
        <v>0.3125</v>
      </c>
      <c r="B4">
        <v>88119</v>
      </c>
      <c r="C4">
        <v>202500</v>
      </c>
      <c r="D4" s="1">
        <f>wirelookup[[#This Row],[average tensile]]*wirelookup[[#This Row],[diameter]]^3/10.2</f>
        <v>605.86368336397061</v>
      </c>
      <c r="E4">
        <v>2.75</v>
      </c>
      <c r="G4">
        <v>25000</v>
      </c>
      <c r="H4">
        <v>0.92</v>
      </c>
      <c r="J4">
        <v>5.625</v>
      </c>
    </row>
    <row r="5" spans="1:15">
      <c r="A5">
        <v>0.375</v>
      </c>
      <c r="B5">
        <v>182724</v>
      </c>
      <c r="C5">
        <v>197500</v>
      </c>
      <c r="D5" s="1">
        <f>wirelookup[[#This Row],[average tensile]]*wirelookup[[#This Row],[diameter]]^3/10.2</f>
        <v>1021.0822610294118</v>
      </c>
      <c r="E5">
        <v>3.75</v>
      </c>
      <c r="G5">
        <v>50000</v>
      </c>
      <c r="H5">
        <v>0.79</v>
      </c>
      <c r="J5">
        <v>7.5</v>
      </c>
    </row>
    <row r="6" spans="1:15">
      <c r="A6">
        <v>0.40625</v>
      </c>
      <c r="B6">
        <v>251546</v>
      </c>
      <c r="C6">
        <v>191000</v>
      </c>
      <c r="D6" s="1">
        <f>wirelookup[[#This Row],[average tensile]]*wirelookup[[#This Row],[diameter]]^3/10.2</f>
        <v>1255.4901721430761</v>
      </c>
      <c r="E6">
        <v>3.75</v>
      </c>
      <c r="G6">
        <v>100000</v>
      </c>
      <c r="H6">
        <v>0.68</v>
      </c>
      <c r="J6">
        <v>9.5</v>
      </c>
      <c r="O6" s="9">
        <v>143.79164751838201</v>
      </c>
    </row>
    <row r="7" spans="1:15">
      <c r="A7">
        <v>0.4375</v>
      </c>
      <c r="B7">
        <v>338448</v>
      </c>
      <c r="C7">
        <v>190000</v>
      </c>
      <c r="D7" s="1">
        <f>wirelookup[[#This Row],[average tensile]]*wirelookup[[#This Row],[diameter]]^3/10.2</f>
        <v>1559.8671109068628</v>
      </c>
      <c r="E7">
        <v>3.75</v>
      </c>
      <c r="J7">
        <v>11.5</v>
      </c>
      <c r="O7">
        <v>325.52083333333297</v>
      </c>
    </row>
    <row r="8" spans="1:15">
      <c r="A8">
        <v>0.46875</v>
      </c>
      <c r="B8">
        <v>445807</v>
      </c>
      <c r="C8">
        <v>185000</v>
      </c>
      <c r="D8" s="1">
        <f>wirelookup[[#This Row],[average tensile]]*wirelookup[[#This Row],[diameter]]^3/10.2</f>
        <v>1868.0796903722428</v>
      </c>
      <c r="E8">
        <v>3.75</v>
      </c>
      <c r="O8">
        <v>605.86368336397095</v>
      </c>
    </row>
    <row r="9" spans="1:15">
      <c r="A9">
        <v>0.5</v>
      </c>
      <c r="B9">
        <v>577500</v>
      </c>
      <c r="C9">
        <v>180000</v>
      </c>
      <c r="D9" s="1">
        <f>wirelookup[[#This Row],[average tensile]]*wirelookup[[#This Row],[diameter]]^3/10.2</f>
        <v>2205.8823529411766</v>
      </c>
      <c r="E9">
        <v>5.625</v>
      </c>
      <c r="O9">
        <v>1021.08226102941</v>
      </c>
    </row>
    <row r="10" spans="1:15">
      <c r="A10">
        <v>0.5625</v>
      </c>
      <c r="B10">
        <v>925044</v>
      </c>
      <c r="C10">
        <v>175000</v>
      </c>
      <c r="D10" s="1">
        <f>wirelookup[[#This Row],[average tensile]]*wirelookup[[#This Row],[diameter]]^3/10.2</f>
        <v>3053.5529641544122</v>
      </c>
      <c r="E10">
        <v>5.625</v>
      </c>
      <c r="O10">
        <v>1255.4901721430799</v>
      </c>
    </row>
    <row r="11" spans="1:15">
      <c r="A11">
        <v>0.625</v>
      </c>
      <c r="B11">
        <v>1409913</v>
      </c>
      <c r="C11">
        <v>1725000</v>
      </c>
      <c r="D11" s="1">
        <f>wirelookup[[#This Row],[average tensile]]*wirelookup[[#This Row],[diameter]]^3/10.2</f>
        <v>41288.488051470595</v>
      </c>
      <c r="E11">
        <v>5.625</v>
      </c>
      <c r="O11">
        <v>1559.86711090686</v>
      </c>
    </row>
    <row r="12" spans="1:15">
      <c r="O12">
        <v>1868.0796903722401</v>
      </c>
    </row>
    <row r="13" spans="1:15">
      <c r="O13">
        <v>2205.8823529411802</v>
      </c>
    </row>
    <row r="14" spans="1:15">
      <c r="O14">
        <v>3053.5529641544099</v>
      </c>
    </row>
    <row r="15" spans="1:15">
      <c r="O15">
        <v>41288.488051470602</v>
      </c>
    </row>
  </sheetData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P65"/>
  <sheetViews>
    <sheetView workbookViewId="0">
      <selection activeCell="P56" sqref="P56:P65"/>
    </sheetView>
  </sheetViews>
  <sheetFormatPr defaultRowHeight="15"/>
  <sheetData>
    <row r="1" spans="1:16">
      <c r="A1" t="s">
        <v>71</v>
      </c>
      <c r="B1" t="s">
        <v>18</v>
      </c>
      <c r="C1" t="s">
        <v>118</v>
      </c>
      <c r="D1" t="s">
        <v>120</v>
      </c>
      <c r="E1" t="s">
        <v>121</v>
      </c>
      <c r="F1" t="s">
        <v>119</v>
      </c>
      <c r="G1" t="s">
        <v>122</v>
      </c>
      <c r="H1" t="s">
        <v>123</v>
      </c>
      <c r="I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129</v>
      </c>
    </row>
    <row r="2" spans="1:16" s="67" customFormat="1">
      <c r="A2" s="67">
        <v>0.1875</v>
      </c>
      <c r="B2" s="67">
        <v>2.75</v>
      </c>
      <c r="C2" s="67">
        <f>(B2-A2)*PI()</f>
        <v>8.0503311748238442</v>
      </c>
      <c r="D2" s="67">
        <f>500/C2</f>
        <v>62.109246084642088</v>
      </c>
      <c r="E2" s="67">
        <f>VLOOKUP(A2,wirelookup[],2,0)/500</f>
        <v>22.84</v>
      </c>
      <c r="F2" s="67">
        <f>1000/$C2</f>
        <v>124.21849216928418</v>
      </c>
      <c r="G2" s="67">
        <f>VLOOKUP($A2,wirelookup[],2,0)/1000</f>
        <v>11.42</v>
      </c>
      <c r="H2" s="67">
        <f>2000/$C2</f>
        <v>248.43698433856835</v>
      </c>
      <c r="I2" s="67">
        <f>VLOOKUP($A2,wirelookup[],2,0)/2000</f>
        <v>5.71</v>
      </c>
      <c r="L2" s="68">
        <v>0.1875</v>
      </c>
      <c r="M2" s="68">
        <v>44.675071745093433</v>
      </c>
      <c r="N2" s="67">
        <v>0.1875</v>
      </c>
      <c r="O2" s="67">
        <v>62.109246084642088</v>
      </c>
      <c r="P2" s="67">
        <f>IF(ISBLANK(O2),"",$M$2/O2)</f>
        <v>0.7192982456140351</v>
      </c>
    </row>
    <row r="3" spans="1:16" s="67" customFormat="1">
      <c r="A3" s="67">
        <v>0.25</v>
      </c>
      <c r="B3" s="67">
        <v>2.75</v>
      </c>
      <c r="C3" s="67">
        <f t="shared" ref="C3:C21" si="0">(B3-A3)*PI()</f>
        <v>7.8539816339744828</v>
      </c>
      <c r="D3" s="67">
        <f t="shared" ref="D3:D21" si="1">500/C3</f>
        <v>63.661977236758133</v>
      </c>
      <c r="E3" s="67">
        <f>VLOOKUP(A3,wirelookup[],2,0)/500</f>
        <v>72.186000000000007</v>
      </c>
      <c r="F3" s="67">
        <f t="shared" ref="F3:F21" si="2">1000/$C3</f>
        <v>127.32395447351627</v>
      </c>
      <c r="G3" s="67">
        <f>VLOOKUP($A3,wirelookup[],2,0)/1000</f>
        <v>36.093000000000004</v>
      </c>
      <c r="H3" s="67">
        <f t="shared" ref="H3:H21" si="3">2000/$C3</f>
        <v>254.64790894703253</v>
      </c>
      <c r="I3" s="67">
        <f>VLOOKUP($A3,wirelookup[],2,0)/2000</f>
        <v>18.046500000000002</v>
      </c>
      <c r="P3" s="67" t="str">
        <f t="shared" ref="P3:P55" si="4">IF(ISBLANK(O3),"",M3/O3)</f>
        <v/>
      </c>
    </row>
    <row r="4" spans="1:16" s="67" customFormat="1">
      <c r="A4" s="67">
        <v>0.3125</v>
      </c>
      <c r="B4" s="67">
        <v>2.75</v>
      </c>
      <c r="C4" s="67">
        <f t="shared" si="0"/>
        <v>7.6576320931251205</v>
      </c>
      <c r="D4" s="67">
        <f t="shared" si="1"/>
        <v>65.294335627444241</v>
      </c>
      <c r="E4" s="67">
        <f>VLOOKUP(A4,wirelookup[],2,0)/500</f>
        <v>176.238</v>
      </c>
      <c r="F4" s="67">
        <f t="shared" si="2"/>
        <v>130.58867125488848</v>
      </c>
      <c r="G4" s="67">
        <f>VLOOKUP($A4,wirelookup[],2,0)/1000</f>
        <v>88.119</v>
      </c>
      <c r="H4" s="67">
        <f t="shared" si="3"/>
        <v>261.17734250977696</v>
      </c>
      <c r="I4" s="67">
        <f>VLOOKUP($A4,wirelookup[],2,0)/2000</f>
        <v>44.0595</v>
      </c>
      <c r="L4" s="68">
        <v>0.25</v>
      </c>
      <c r="M4" s="68">
        <v>45.472840883398668</v>
      </c>
      <c r="N4" s="67">
        <v>0.1875</v>
      </c>
      <c r="O4" s="67">
        <v>62.109246084642088</v>
      </c>
      <c r="P4" s="67">
        <f>IF(ISBLANK(O4),"",$M$4/O4)</f>
        <v>0.7321428571428571</v>
      </c>
    </row>
    <row r="5" spans="1:16" s="67" customFormat="1">
      <c r="A5" s="67">
        <v>0.375</v>
      </c>
      <c r="B5" s="67">
        <v>2.75</v>
      </c>
      <c r="C5" s="67">
        <f t="shared" si="0"/>
        <v>7.4612825522757582</v>
      </c>
      <c r="D5" s="67">
        <f t="shared" si="1"/>
        <v>67.012607617640143</v>
      </c>
      <c r="E5" s="67">
        <f>VLOOKUP(A5,wirelookup[],2,0)/500</f>
        <v>365.44799999999998</v>
      </c>
      <c r="F5" s="67">
        <f t="shared" si="2"/>
        <v>134.02521523528029</v>
      </c>
      <c r="G5" s="67">
        <f>VLOOKUP($A5,wirelookup[],2,0)/1000</f>
        <v>182.72399999999999</v>
      </c>
      <c r="H5" s="67">
        <f t="shared" si="3"/>
        <v>268.05043047056057</v>
      </c>
      <c r="I5" s="67">
        <f>VLOOKUP($A5,wirelookup[],2,0)/2000</f>
        <v>91.361999999999995</v>
      </c>
      <c r="N5" s="67">
        <v>0.25</v>
      </c>
      <c r="O5" s="67">
        <v>63.661977236758133</v>
      </c>
      <c r="P5" s="67">
        <f>IF(ISBLANK(O5),"",$M$4/O5)</f>
        <v>0.7142857142857143</v>
      </c>
    </row>
    <row r="6" spans="1:16" s="67" customFormat="1">
      <c r="A6" s="67">
        <v>0.40625</v>
      </c>
      <c r="B6" s="67">
        <v>2.75</v>
      </c>
      <c r="C6" s="67">
        <f t="shared" si="0"/>
        <v>7.3631077818510775</v>
      </c>
      <c r="D6" s="67">
        <f t="shared" si="1"/>
        <v>67.906109052542007</v>
      </c>
      <c r="E6" s="67">
        <f>VLOOKUP(A6,wirelookup[],2,0)/500</f>
        <v>503.09199999999998</v>
      </c>
      <c r="F6" s="67">
        <f t="shared" si="2"/>
        <v>135.81221810508401</v>
      </c>
      <c r="G6" s="67">
        <f>VLOOKUP($A6,wirelookup[],2,0)/1000</f>
        <v>251.54599999999999</v>
      </c>
      <c r="H6" s="67">
        <f t="shared" si="3"/>
        <v>271.62443621016803</v>
      </c>
      <c r="I6" s="67">
        <f>VLOOKUP($A6,wirelookup[],2,0)/2000</f>
        <v>125.773</v>
      </c>
      <c r="P6" s="67" t="str">
        <f t="shared" si="4"/>
        <v/>
      </c>
    </row>
    <row r="7" spans="1:16" s="67" customFormat="1">
      <c r="A7" s="67">
        <v>0.4375</v>
      </c>
      <c r="B7" s="67">
        <v>2.75</v>
      </c>
      <c r="C7" s="67">
        <f t="shared" si="0"/>
        <v>7.2649330114263968</v>
      </c>
      <c r="D7" s="67">
        <f t="shared" si="1"/>
        <v>68.823759174873658</v>
      </c>
      <c r="E7" s="67">
        <f>VLOOKUP(A7,wirelookup[],2,0)/500</f>
        <v>676.89599999999996</v>
      </c>
      <c r="F7" s="67">
        <f t="shared" si="2"/>
        <v>137.64751834974732</v>
      </c>
      <c r="G7" s="67">
        <f>VLOOKUP($A7,wirelookup[],2,0)/1000</f>
        <v>338.44799999999998</v>
      </c>
      <c r="H7" s="67">
        <f t="shared" si="3"/>
        <v>275.29503669949463</v>
      </c>
      <c r="I7" s="67">
        <f>VLOOKUP($A7,wirelookup[],2,0)/2000</f>
        <v>169.22399999999999</v>
      </c>
      <c r="L7" s="68">
        <v>0.3125</v>
      </c>
      <c r="M7" s="68">
        <v>46.29961980855137</v>
      </c>
      <c r="N7" s="67">
        <v>0.1875</v>
      </c>
      <c r="O7" s="67">
        <v>62.109246084642088</v>
      </c>
      <c r="P7" s="67">
        <f>IF(ISBLANK(O7),"",$M$7/O7)</f>
        <v>0.74545454545454537</v>
      </c>
    </row>
    <row r="8" spans="1:16" s="67" customFormat="1">
      <c r="A8" s="67">
        <v>0.46875</v>
      </c>
      <c r="B8" s="67">
        <v>2.75</v>
      </c>
      <c r="C8" s="67">
        <f t="shared" si="0"/>
        <v>7.1667582410017152</v>
      </c>
      <c r="D8" s="67">
        <f t="shared" si="1"/>
        <v>69.766550396447272</v>
      </c>
      <c r="E8" s="67">
        <f>VLOOKUP(A8,wirelookup[],2,0)/500</f>
        <v>891.61400000000003</v>
      </c>
      <c r="F8" s="67">
        <f t="shared" si="2"/>
        <v>139.53310079289454</v>
      </c>
      <c r="G8" s="67">
        <f>VLOOKUP($A8,wirelookup[],2,0)/1000</f>
        <v>445.80700000000002</v>
      </c>
      <c r="H8" s="67">
        <f t="shared" si="3"/>
        <v>279.06620158578909</v>
      </c>
      <c r="I8" s="67">
        <f>VLOOKUP($A8,wirelookup[],2,0)/2000</f>
        <v>222.90350000000001</v>
      </c>
      <c r="N8" s="67">
        <v>0.25</v>
      </c>
      <c r="O8" s="67">
        <v>63.661977236758133</v>
      </c>
      <c r="P8" s="67">
        <f>IF(ISBLANK(O8),"",$M$7/O8)</f>
        <v>0.72727272727272729</v>
      </c>
    </row>
    <row r="9" spans="1:16" s="67" customFormat="1">
      <c r="A9" s="67">
        <v>0.5</v>
      </c>
      <c r="B9" s="67">
        <v>2.75</v>
      </c>
      <c r="C9" s="67">
        <f t="shared" si="0"/>
        <v>7.0685834705770345</v>
      </c>
      <c r="D9" s="67">
        <f t="shared" si="1"/>
        <v>70.735530263064589</v>
      </c>
      <c r="E9" s="67">
        <f>VLOOKUP(A9,wirelookup[],2,0)/500</f>
        <v>1155</v>
      </c>
      <c r="F9" s="67">
        <f t="shared" si="2"/>
        <v>141.47106052612918</v>
      </c>
      <c r="G9" s="67">
        <f>VLOOKUP($A9,wirelookup[],2,0)/1000</f>
        <v>577.5</v>
      </c>
      <c r="H9" s="67">
        <f t="shared" si="3"/>
        <v>282.94212105225836</v>
      </c>
      <c r="I9" s="67">
        <f>VLOOKUP($A9,wirelookup[],2,0)/2000</f>
        <v>288.75</v>
      </c>
      <c r="N9" s="67">
        <v>0.3125</v>
      </c>
      <c r="O9" s="67">
        <v>65.294335627444241</v>
      </c>
      <c r="P9" s="67">
        <f>IF(ISBLANK(O9),"",$M$7/O9)</f>
        <v>0.70909090909090911</v>
      </c>
    </row>
    <row r="10" spans="1:16" s="67" customFormat="1">
      <c r="A10" s="67">
        <v>0.5625</v>
      </c>
      <c r="B10" s="67">
        <v>2.75</v>
      </c>
      <c r="C10" s="67">
        <f t="shared" si="0"/>
        <v>6.8722339297276722</v>
      </c>
      <c r="D10" s="67">
        <f t="shared" si="1"/>
        <v>72.756545413437877</v>
      </c>
      <c r="E10" s="67">
        <f>VLOOKUP(A10,wirelookup[],2,0)/500</f>
        <v>1850.088</v>
      </c>
      <c r="F10" s="67">
        <f t="shared" si="2"/>
        <v>145.51309082687575</v>
      </c>
      <c r="G10" s="67">
        <f>VLOOKUP($A10,wirelookup[],2,0)/1000</f>
        <v>925.04399999999998</v>
      </c>
      <c r="H10" s="67">
        <f t="shared" si="3"/>
        <v>291.02618165375151</v>
      </c>
      <c r="I10" s="67">
        <f>VLOOKUP($A10,wirelookup[],2,0)/2000</f>
        <v>462.52199999999999</v>
      </c>
      <c r="P10" s="67" t="str">
        <f t="shared" si="4"/>
        <v/>
      </c>
    </row>
    <row r="11" spans="1:16" s="67" customFormat="1">
      <c r="A11" s="67">
        <v>0.625</v>
      </c>
      <c r="B11" s="67">
        <v>2.75</v>
      </c>
      <c r="C11" s="67">
        <f t="shared" si="0"/>
        <v>6.6758843888783108</v>
      </c>
      <c r="D11" s="67">
        <f t="shared" si="1"/>
        <v>74.896443807950746</v>
      </c>
      <c r="E11" s="67">
        <f>VLOOKUP(A11,wirelookup[],2,0)/500</f>
        <v>2819.826</v>
      </c>
      <c r="F11" s="67">
        <f t="shared" si="2"/>
        <v>149.79288761590149</v>
      </c>
      <c r="G11" s="67">
        <f>VLOOKUP($A11,wirelookup[],2,0)/1000</f>
        <v>1409.913</v>
      </c>
      <c r="H11" s="67">
        <f t="shared" si="3"/>
        <v>299.58577523180298</v>
      </c>
      <c r="I11" s="67">
        <f>VLOOKUP($A11,wirelookup[],2,0)/2000</f>
        <v>704.95650000000001</v>
      </c>
      <c r="L11" s="68">
        <v>0.375</v>
      </c>
      <c r="M11" s="68">
        <v>47.157020175376402</v>
      </c>
      <c r="N11" s="67">
        <v>0.1875</v>
      </c>
      <c r="O11" s="67">
        <v>62.109246084642088</v>
      </c>
      <c r="P11" s="67">
        <f>IF(ISBLANK(O11),"",$M$11/O11)</f>
        <v>0.7592592592592593</v>
      </c>
    </row>
    <row r="12" spans="1:16" s="68" customFormat="1">
      <c r="A12" s="68">
        <v>0.1875</v>
      </c>
      <c r="B12" s="68">
        <v>3.75</v>
      </c>
      <c r="C12" s="68">
        <f t="shared" si="0"/>
        <v>11.191923828413637</v>
      </c>
      <c r="D12" s="68">
        <f t="shared" si="1"/>
        <v>44.675071745093433</v>
      </c>
      <c r="E12" s="68">
        <f>VLOOKUP(A12,wirelookup[],2,0)/500</f>
        <v>22.84</v>
      </c>
      <c r="F12" s="68">
        <f t="shared" si="2"/>
        <v>89.350143490186866</v>
      </c>
      <c r="G12" s="68">
        <f>VLOOKUP($A12,wirelookup[],2,0)/1000</f>
        <v>11.42</v>
      </c>
      <c r="H12" s="68">
        <f t="shared" si="3"/>
        <v>178.70028698037373</v>
      </c>
      <c r="I12" s="68">
        <f>VLOOKUP($A12,wirelookup[],2,0)/2000</f>
        <v>5.71</v>
      </c>
      <c r="N12" s="67">
        <v>0.25</v>
      </c>
      <c r="O12" s="67">
        <v>63.661977236758133</v>
      </c>
      <c r="P12" s="67">
        <f>IF(ISBLANK(O12),"",$M$11/O12)</f>
        <v>0.74074074074074081</v>
      </c>
    </row>
    <row r="13" spans="1:16" s="68" customFormat="1">
      <c r="A13" s="68">
        <v>0.25</v>
      </c>
      <c r="B13" s="68">
        <v>3.75</v>
      </c>
      <c r="C13" s="68">
        <f t="shared" si="0"/>
        <v>10.995574287564276</v>
      </c>
      <c r="D13" s="68">
        <f t="shared" si="1"/>
        <v>45.472840883398668</v>
      </c>
      <c r="E13" s="68">
        <f>VLOOKUP(A13,wirelookup[],2,0)/500</f>
        <v>72.186000000000007</v>
      </c>
      <c r="F13" s="68">
        <f t="shared" si="2"/>
        <v>90.945681766797335</v>
      </c>
      <c r="G13" s="68">
        <f>VLOOKUP($A13,wirelookup[],2,0)/1000</f>
        <v>36.093000000000004</v>
      </c>
      <c r="H13" s="68">
        <f t="shared" si="3"/>
        <v>181.89136353359467</v>
      </c>
      <c r="I13" s="68">
        <f>VLOOKUP($A13,wirelookup[],2,0)/2000</f>
        <v>18.046500000000002</v>
      </c>
      <c r="N13" s="67">
        <v>0.3125</v>
      </c>
      <c r="O13" s="67">
        <v>65.294335627444241</v>
      </c>
      <c r="P13" s="67">
        <f>IF(ISBLANK(O13),"",$M$11/O13)</f>
        <v>0.72222222222222232</v>
      </c>
    </row>
    <row r="14" spans="1:16" s="68" customFormat="1">
      <c r="A14" s="68">
        <v>0.3125</v>
      </c>
      <c r="B14" s="68">
        <v>3.75</v>
      </c>
      <c r="C14" s="68">
        <f t="shared" si="0"/>
        <v>10.799224746714915</v>
      </c>
      <c r="D14" s="68">
        <f t="shared" si="1"/>
        <v>46.29961980855137</v>
      </c>
      <c r="E14" s="68">
        <f>VLOOKUP(A14,wirelookup[],2,0)/500</f>
        <v>176.238</v>
      </c>
      <c r="F14" s="68">
        <f t="shared" si="2"/>
        <v>92.599239617102739</v>
      </c>
      <c r="G14" s="68">
        <f>VLOOKUP($A14,wirelookup[],2,0)/1000</f>
        <v>88.119</v>
      </c>
      <c r="H14" s="68">
        <f t="shared" si="3"/>
        <v>185.19847923420548</v>
      </c>
      <c r="I14" s="68">
        <f>VLOOKUP($A14,wirelookup[],2,0)/2000</f>
        <v>44.0595</v>
      </c>
      <c r="N14" s="67">
        <v>0.375</v>
      </c>
      <c r="O14" s="67">
        <v>67.012607617640143</v>
      </c>
      <c r="P14" s="67">
        <f>IF(ISBLANK(O14),"",$M$11/O14)</f>
        <v>0.70370370370370383</v>
      </c>
    </row>
    <row r="15" spans="1:16" s="68" customFormat="1">
      <c r="A15" s="68">
        <v>0.375</v>
      </c>
      <c r="B15" s="68">
        <v>3.75</v>
      </c>
      <c r="C15" s="68">
        <f t="shared" si="0"/>
        <v>10.602875205865551</v>
      </c>
      <c r="D15" s="68">
        <f t="shared" si="1"/>
        <v>47.157020175376402</v>
      </c>
      <c r="E15" s="68">
        <f>VLOOKUP(A15,wirelookup[],2,0)/500</f>
        <v>365.44799999999998</v>
      </c>
      <c r="F15" s="68">
        <f t="shared" si="2"/>
        <v>94.314040350752805</v>
      </c>
      <c r="G15" s="68">
        <f>VLOOKUP($A15,wirelookup[],2,0)/1000</f>
        <v>182.72399999999999</v>
      </c>
      <c r="H15" s="68">
        <f t="shared" si="3"/>
        <v>188.62808070150561</v>
      </c>
      <c r="I15" s="68">
        <f>VLOOKUP($A15,wirelookup[],2,0)/2000</f>
        <v>91.361999999999995</v>
      </c>
      <c r="N15"/>
      <c r="P15" s="67" t="str">
        <f t="shared" si="4"/>
        <v/>
      </c>
    </row>
    <row r="16" spans="1:16" s="68" customFormat="1">
      <c r="A16" s="68">
        <v>0.40625</v>
      </c>
      <c r="B16" s="68">
        <v>3.75</v>
      </c>
      <c r="C16" s="68">
        <f t="shared" si="0"/>
        <v>10.504700435440871</v>
      </c>
      <c r="D16" s="68">
        <f t="shared" si="1"/>
        <v>47.597739990099541</v>
      </c>
      <c r="E16" s="68">
        <f>VLOOKUP(A16,wirelookup[],2,0)/500</f>
        <v>503.09199999999998</v>
      </c>
      <c r="F16" s="68">
        <f t="shared" si="2"/>
        <v>95.195479980199082</v>
      </c>
      <c r="G16" s="68">
        <f>VLOOKUP($A16,wirelookup[],2,0)/1000</f>
        <v>251.54599999999999</v>
      </c>
      <c r="H16" s="68">
        <f t="shared" si="3"/>
        <v>190.39095996039816</v>
      </c>
      <c r="I16" s="68">
        <f>VLOOKUP($A16,wirelookup[],2,0)/2000</f>
        <v>125.773</v>
      </c>
      <c r="L16" s="68">
        <v>0.40625</v>
      </c>
      <c r="M16" s="68">
        <v>47.597739990099541</v>
      </c>
      <c r="N16" s="67">
        <v>0.1875</v>
      </c>
      <c r="O16" s="67">
        <v>62.109246084642088</v>
      </c>
      <c r="P16" s="67">
        <f>IF(ISBLANK(O16),"",$M$16/O16)</f>
        <v>0.76635514018691586</v>
      </c>
    </row>
    <row r="17" spans="1:16" s="68" customFormat="1">
      <c r="A17" s="68">
        <v>0.4375</v>
      </c>
      <c r="B17" s="68">
        <v>3.75</v>
      </c>
      <c r="C17" s="68">
        <f t="shared" si="0"/>
        <v>10.40652566501619</v>
      </c>
      <c r="D17" s="68">
        <f t="shared" si="1"/>
        <v>48.046775273025006</v>
      </c>
      <c r="E17" s="68">
        <f>VLOOKUP(A17,wirelookup[],2,0)/500</f>
        <v>676.89599999999996</v>
      </c>
      <c r="F17" s="68">
        <f t="shared" si="2"/>
        <v>96.093550546050011</v>
      </c>
      <c r="G17" s="68">
        <f>VLOOKUP($A17,wirelookup[],2,0)/1000</f>
        <v>338.44799999999998</v>
      </c>
      <c r="H17" s="68">
        <f t="shared" si="3"/>
        <v>192.18710109210002</v>
      </c>
      <c r="I17" s="68">
        <f>VLOOKUP($A17,wirelookup[],2,0)/2000</f>
        <v>169.22399999999999</v>
      </c>
      <c r="N17" s="67">
        <v>0.25</v>
      </c>
      <c r="O17" s="67">
        <v>63.661977236758133</v>
      </c>
      <c r="P17" s="67">
        <f>IF(ISBLANK(O17),"",$M$16/O17)</f>
        <v>0.74766355140186924</v>
      </c>
    </row>
    <row r="18" spans="1:16" s="68" customFormat="1">
      <c r="A18" s="68">
        <v>0.46875</v>
      </c>
      <c r="B18" s="68">
        <v>3.75</v>
      </c>
      <c r="C18" s="68">
        <f t="shared" si="0"/>
        <v>10.308350894591509</v>
      </c>
      <c r="D18" s="68">
        <f t="shared" si="1"/>
        <v>48.504363608958577</v>
      </c>
      <c r="E18" s="68">
        <f>VLOOKUP(A18,wirelookup[],2,0)/500</f>
        <v>891.61400000000003</v>
      </c>
      <c r="F18" s="68">
        <f t="shared" si="2"/>
        <v>97.008727217917155</v>
      </c>
      <c r="G18" s="68">
        <f>VLOOKUP($A18,wirelookup[],2,0)/1000</f>
        <v>445.80700000000002</v>
      </c>
      <c r="H18" s="68">
        <f t="shared" si="3"/>
        <v>194.01745443583431</v>
      </c>
      <c r="I18" s="68">
        <f>VLOOKUP($A18,wirelookup[],2,0)/2000</f>
        <v>222.90350000000001</v>
      </c>
      <c r="N18" s="67">
        <v>0.3125</v>
      </c>
      <c r="O18" s="67">
        <v>65.294335627444241</v>
      </c>
      <c r="P18" s="67">
        <f>IF(ISBLANK(O18),"",$M$16/O18)</f>
        <v>0.7289719626168224</v>
      </c>
    </row>
    <row r="19" spans="1:16" s="68" customFormat="1">
      <c r="A19" s="68">
        <v>0.5</v>
      </c>
      <c r="B19" s="68">
        <v>3.75</v>
      </c>
      <c r="C19" s="68">
        <f t="shared" si="0"/>
        <v>10.210176124166829</v>
      </c>
      <c r="D19" s="68">
        <f t="shared" si="1"/>
        <v>48.970751720583181</v>
      </c>
      <c r="E19" s="68">
        <f>VLOOKUP(A19,wirelookup[],2,0)/500</f>
        <v>1155</v>
      </c>
      <c r="F19" s="68">
        <f t="shared" si="2"/>
        <v>97.941503441166361</v>
      </c>
      <c r="G19" s="68">
        <f>VLOOKUP($A19,wirelookup[],2,0)/1000</f>
        <v>577.5</v>
      </c>
      <c r="H19" s="68">
        <f t="shared" si="3"/>
        <v>195.88300688233272</v>
      </c>
      <c r="I19" s="68">
        <f>VLOOKUP($A19,wirelookup[],2,0)/2000</f>
        <v>288.75</v>
      </c>
      <c r="N19" s="67">
        <v>0.375</v>
      </c>
      <c r="O19" s="67">
        <v>67.012607617640143</v>
      </c>
      <c r="P19" s="67">
        <f>IF(ISBLANK(O19),"",$M$16/O19)</f>
        <v>0.71028037383177567</v>
      </c>
    </row>
    <row r="20" spans="1:16" s="68" customFormat="1">
      <c r="A20" s="68">
        <v>0.5625</v>
      </c>
      <c r="B20" s="68">
        <v>3.75</v>
      </c>
      <c r="C20" s="68">
        <f t="shared" si="0"/>
        <v>10.013826583317465</v>
      </c>
      <c r="D20" s="68">
        <f t="shared" si="1"/>
        <v>49.930962538633835</v>
      </c>
      <c r="E20" s="68">
        <f>VLOOKUP(A20,wirelookup[],2,0)/500</f>
        <v>1850.088</v>
      </c>
      <c r="F20" s="68">
        <f t="shared" si="2"/>
        <v>99.861925077267671</v>
      </c>
      <c r="G20" s="68">
        <f>VLOOKUP($A20,wirelookup[],2,0)/1000</f>
        <v>925.04399999999998</v>
      </c>
      <c r="H20" s="68">
        <f t="shared" si="3"/>
        <v>199.72385015453534</v>
      </c>
      <c r="I20" s="68">
        <f>VLOOKUP($A20,wirelookup[],2,0)/2000</f>
        <v>462.52199999999999</v>
      </c>
      <c r="N20" s="67">
        <v>0.40625</v>
      </c>
      <c r="O20" s="67">
        <v>67.906109052542007</v>
      </c>
      <c r="P20" s="67">
        <f>IF(ISBLANK(O20),"",$M$16/O20)</f>
        <v>0.70093457943925241</v>
      </c>
    </row>
    <row r="21" spans="1:16" s="68" customFormat="1">
      <c r="A21" s="68">
        <v>0.625</v>
      </c>
      <c r="B21" s="68">
        <v>3.75</v>
      </c>
      <c r="C21" s="68">
        <f t="shared" si="0"/>
        <v>9.8174770424681039</v>
      </c>
      <c r="D21" s="68">
        <f t="shared" si="1"/>
        <v>50.929581789406505</v>
      </c>
      <c r="E21" s="68">
        <f>VLOOKUP(A21,wirelookup[],2,0)/500</f>
        <v>2819.826</v>
      </c>
      <c r="F21" s="68">
        <f t="shared" si="2"/>
        <v>101.85916357881301</v>
      </c>
      <c r="G21" s="68">
        <f>VLOOKUP($A21,wirelookup[],2,0)/1000</f>
        <v>1409.913</v>
      </c>
      <c r="H21" s="68">
        <f t="shared" si="3"/>
        <v>203.71832715762602</v>
      </c>
      <c r="I21" s="68">
        <f>VLOOKUP($A21,wirelookup[],2,0)/2000</f>
        <v>704.95650000000001</v>
      </c>
      <c r="N21"/>
      <c r="P21" s="67" t="str">
        <f t="shared" si="4"/>
        <v/>
      </c>
    </row>
    <row r="22" spans="1:16">
      <c r="L22" s="68">
        <v>0.4375</v>
      </c>
      <c r="M22" s="68">
        <v>48.046775273025006</v>
      </c>
      <c r="N22" s="67">
        <v>0.1875</v>
      </c>
      <c r="O22" s="67">
        <v>62.109246084642088</v>
      </c>
      <c r="P22" s="67">
        <f t="shared" ref="P22:P27" si="5">IF(ISBLANK(O22),"",$M$22/O22)</f>
        <v>0.7735849056603773</v>
      </c>
    </row>
    <row r="23" spans="1:16">
      <c r="N23" s="67">
        <v>0.25</v>
      </c>
      <c r="O23" s="67">
        <v>63.661977236758133</v>
      </c>
      <c r="P23" s="67">
        <f t="shared" si="5"/>
        <v>0.75471698113207542</v>
      </c>
    </row>
    <row r="24" spans="1:16">
      <c r="N24" s="67">
        <v>0.3125</v>
      </c>
      <c r="O24" s="67">
        <v>65.294335627444241</v>
      </c>
      <c r="P24" s="67">
        <f t="shared" si="5"/>
        <v>0.73584905660377353</v>
      </c>
    </row>
    <row r="25" spans="1:16">
      <c r="N25" s="67">
        <v>0.375</v>
      </c>
      <c r="O25" s="67">
        <v>67.012607617640143</v>
      </c>
      <c r="P25" s="67">
        <f t="shared" si="5"/>
        <v>0.71698113207547165</v>
      </c>
    </row>
    <row r="26" spans="1:16">
      <c r="N26" s="67">
        <v>0.40625</v>
      </c>
      <c r="O26" s="67">
        <v>67.906109052542007</v>
      </c>
      <c r="P26" s="67">
        <f t="shared" si="5"/>
        <v>0.70754716981132071</v>
      </c>
    </row>
    <row r="27" spans="1:16">
      <c r="L27" s="68"/>
      <c r="N27" s="67">
        <v>0.4375</v>
      </c>
      <c r="O27" s="67">
        <v>68.823759174873658</v>
      </c>
      <c r="P27" s="67">
        <f t="shared" si="5"/>
        <v>0.69811320754716977</v>
      </c>
    </row>
    <row r="28" spans="1:16">
      <c r="P28" s="67" t="str">
        <f t="shared" si="4"/>
        <v/>
      </c>
    </row>
    <row r="29" spans="1:16">
      <c r="L29" s="68">
        <v>0.46875</v>
      </c>
      <c r="M29" s="68">
        <v>48.504363608958577</v>
      </c>
      <c r="N29" s="67">
        <v>0.1875</v>
      </c>
      <c r="O29" s="67">
        <v>62.109246084642088</v>
      </c>
      <c r="P29" s="67">
        <f>IF(ISBLANK(O29),"",$M$29/O29)</f>
        <v>0.78095238095238084</v>
      </c>
    </row>
    <row r="30" spans="1:16">
      <c r="N30" s="67">
        <v>0.25</v>
      </c>
      <c r="O30" s="67">
        <v>63.661977236758133</v>
      </c>
      <c r="P30" s="67">
        <f t="shared" ref="P30:P35" si="6">IF(ISBLANK(O30),"",$M$29/O30)</f>
        <v>0.76190476190476186</v>
      </c>
    </row>
    <row r="31" spans="1:16">
      <c r="N31" s="67">
        <v>0.3125</v>
      </c>
      <c r="O31" s="67">
        <v>65.294335627444241</v>
      </c>
      <c r="P31" s="67">
        <f t="shared" si="6"/>
        <v>0.74285714285714288</v>
      </c>
    </row>
    <row r="32" spans="1:16">
      <c r="N32" s="67">
        <v>0.375</v>
      </c>
      <c r="O32" s="67">
        <v>67.012607617640143</v>
      </c>
      <c r="P32" s="67">
        <f t="shared" si="6"/>
        <v>0.72380952380952379</v>
      </c>
    </row>
    <row r="33" spans="12:16">
      <c r="N33" s="67">
        <v>0.40625</v>
      </c>
      <c r="O33" s="67">
        <v>67.906109052542007</v>
      </c>
      <c r="P33" s="67">
        <f t="shared" si="6"/>
        <v>0.7142857142857143</v>
      </c>
    </row>
    <row r="34" spans="12:16">
      <c r="N34" s="67">
        <v>0.4375</v>
      </c>
      <c r="O34" s="67">
        <v>68.823759174873658</v>
      </c>
      <c r="P34" s="67">
        <f t="shared" si="6"/>
        <v>0.70476190476190481</v>
      </c>
    </row>
    <row r="35" spans="12:16">
      <c r="N35" s="67">
        <v>0.46875</v>
      </c>
      <c r="O35" s="67">
        <v>69.766550396447272</v>
      </c>
      <c r="P35" s="67">
        <f t="shared" si="6"/>
        <v>0.69523809523809521</v>
      </c>
    </row>
    <row r="36" spans="12:16">
      <c r="P36" s="67" t="str">
        <f t="shared" si="4"/>
        <v/>
      </c>
    </row>
    <row r="37" spans="12:16">
      <c r="L37" s="68">
        <v>0.5</v>
      </c>
      <c r="M37" s="68">
        <v>48.970751720583181</v>
      </c>
      <c r="N37" s="67">
        <v>0.1875</v>
      </c>
      <c r="O37" s="67">
        <v>62.109246084642088</v>
      </c>
      <c r="P37" s="67">
        <f>IF(ISBLANK(O37),"",3/O37)</f>
        <v>4.8301987048943069E-2</v>
      </c>
    </row>
    <row r="38" spans="12:16">
      <c r="N38" s="67">
        <v>0.25</v>
      </c>
      <c r="O38" s="67">
        <v>63.661977236758133</v>
      </c>
      <c r="P38" s="67">
        <f t="shared" ref="P38:P44" si="7">IF(ISBLANK(O38),"",3/O38)</f>
        <v>4.7123889803846901E-2</v>
      </c>
    </row>
    <row r="39" spans="12:16">
      <c r="N39" s="67">
        <v>0.3125</v>
      </c>
      <c r="O39" s="67">
        <v>65.294335627444241</v>
      </c>
      <c r="P39" s="67">
        <f t="shared" si="7"/>
        <v>4.5945792558750725E-2</v>
      </c>
    </row>
    <row r="40" spans="12:16">
      <c r="N40" s="67">
        <v>0.375</v>
      </c>
      <c r="O40" s="67">
        <v>67.012607617640143</v>
      </c>
      <c r="P40" s="67">
        <f t="shared" si="7"/>
        <v>4.476769531365455E-2</v>
      </c>
    </row>
    <row r="41" spans="12:16">
      <c r="N41" s="67">
        <v>0.40625</v>
      </c>
      <c r="O41" s="67">
        <v>67.906109052542007</v>
      </c>
      <c r="P41" s="67">
        <f t="shared" si="7"/>
        <v>4.4178646691106473E-2</v>
      </c>
    </row>
    <row r="42" spans="12:16">
      <c r="N42" s="67">
        <v>0.4375</v>
      </c>
      <c r="O42" s="67">
        <v>68.823759174873658</v>
      </c>
      <c r="P42" s="67">
        <f t="shared" si="7"/>
        <v>4.3589598068558381E-2</v>
      </c>
    </row>
    <row r="43" spans="12:16">
      <c r="N43" s="67">
        <v>0.46875</v>
      </c>
      <c r="O43" s="67">
        <v>69.766550396447272</v>
      </c>
      <c r="P43" s="67">
        <f t="shared" si="7"/>
        <v>4.3000549446010297E-2</v>
      </c>
    </row>
    <row r="44" spans="12:16">
      <c r="N44" s="67">
        <v>0.5</v>
      </c>
      <c r="O44" s="67">
        <v>70.735530263064589</v>
      </c>
      <c r="P44" s="67">
        <f t="shared" si="7"/>
        <v>4.2411500823462213E-2</v>
      </c>
    </row>
    <row r="45" spans="12:16">
      <c r="P45" s="67" t="str">
        <f t="shared" si="4"/>
        <v/>
      </c>
    </row>
    <row r="46" spans="12:16">
      <c r="L46" s="68">
        <v>0.5625</v>
      </c>
      <c r="M46" s="68">
        <v>49.930962538633835</v>
      </c>
      <c r="N46" s="67">
        <v>0.1875</v>
      </c>
      <c r="O46" s="67">
        <v>62.109246084642088</v>
      </c>
      <c r="P46" s="67">
        <f>IF(ISBLANK(O46),"",$M$46/O46)</f>
        <v>0.80392156862745101</v>
      </c>
    </row>
    <row r="47" spans="12:16">
      <c r="N47" s="67">
        <v>0.25</v>
      </c>
      <c r="O47" s="67">
        <v>63.661977236758133</v>
      </c>
      <c r="P47" s="67">
        <f t="shared" ref="P47:P54" si="8">IF(ISBLANK(O47),"",$M$46/O47)</f>
        <v>0.78431372549019618</v>
      </c>
    </row>
    <row r="48" spans="12:16">
      <c r="N48" s="67">
        <v>0.3125</v>
      </c>
      <c r="O48" s="67">
        <v>65.294335627444241</v>
      </c>
      <c r="P48" s="67">
        <f t="shared" si="8"/>
        <v>0.76470588235294124</v>
      </c>
    </row>
    <row r="49" spans="12:16">
      <c r="N49" s="67">
        <v>0.375</v>
      </c>
      <c r="O49" s="67">
        <v>67.012607617640143</v>
      </c>
      <c r="P49" s="67">
        <f t="shared" si="8"/>
        <v>0.74509803921568629</v>
      </c>
    </row>
    <row r="50" spans="12:16">
      <c r="N50" s="67">
        <v>0.40625</v>
      </c>
      <c r="O50" s="67">
        <v>67.906109052542007</v>
      </c>
      <c r="P50" s="67">
        <f t="shared" si="8"/>
        <v>0.73529411764705888</v>
      </c>
    </row>
    <row r="51" spans="12:16">
      <c r="N51" s="67">
        <v>0.4375</v>
      </c>
      <c r="O51" s="67">
        <v>68.823759174873658</v>
      </c>
      <c r="P51" s="67">
        <f t="shared" si="8"/>
        <v>0.72549019607843146</v>
      </c>
    </row>
    <row r="52" spans="12:16">
      <c r="N52" s="67">
        <v>0.46875</v>
      </c>
      <c r="O52" s="67">
        <v>69.766550396447272</v>
      </c>
      <c r="P52" s="67">
        <f t="shared" si="8"/>
        <v>0.71568627450980393</v>
      </c>
    </row>
    <row r="53" spans="12:16">
      <c r="N53" s="67">
        <v>0.5</v>
      </c>
      <c r="O53" s="67">
        <v>70.735530263064589</v>
      </c>
      <c r="P53" s="67">
        <f t="shared" si="8"/>
        <v>0.70588235294117663</v>
      </c>
    </row>
    <row r="54" spans="12:16">
      <c r="N54" s="67">
        <v>0.5625</v>
      </c>
      <c r="O54" s="67">
        <v>72.756545413437877</v>
      </c>
      <c r="P54" s="67">
        <f t="shared" si="8"/>
        <v>0.68627450980392157</v>
      </c>
    </row>
    <row r="55" spans="12:16">
      <c r="P55" s="67" t="str">
        <f t="shared" si="4"/>
        <v/>
      </c>
    </row>
    <row r="56" spans="12:16">
      <c r="L56" s="68">
        <v>0.625</v>
      </c>
      <c r="M56" s="68">
        <v>50.929581789406505</v>
      </c>
      <c r="N56" s="67">
        <v>0.1875</v>
      </c>
      <c r="O56" s="67">
        <v>62.109246084642088</v>
      </c>
      <c r="P56" s="67">
        <f>IF(ISBLANK(O56),"",$M$56/O56)</f>
        <v>0.81999999999999984</v>
      </c>
    </row>
    <row r="57" spans="12:16">
      <c r="N57" s="67">
        <v>0.25</v>
      </c>
      <c r="O57" s="67">
        <v>63.661977236758133</v>
      </c>
      <c r="P57" s="67">
        <f t="shared" ref="P57:P65" si="9">IF(ISBLANK(O57),"",$M$56/O57)</f>
        <v>0.79999999999999993</v>
      </c>
    </row>
    <row r="58" spans="12:16">
      <c r="N58" s="67">
        <v>0.3125</v>
      </c>
      <c r="O58" s="67">
        <v>65.294335627444241</v>
      </c>
      <c r="P58" s="67">
        <f t="shared" si="9"/>
        <v>0.77999999999999992</v>
      </c>
    </row>
    <row r="59" spans="12:16">
      <c r="N59" s="67">
        <v>0.375</v>
      </c>
      <c r="O59" s="67">
        <v>67.012607617640143</v>
      </c>
      <c r="P59" s="67">
        <f t="shared" si="9"/>
        <v>0.76</v>
      </c>
    </row>
    <row r="60" spans="12:16">
      <c r="N60" s="67">
        <v>0.40625</v>
      </c>
      <c r="O60" s="67">
        <v>67.906109052542007</v>
      </c>
      <c r="P60" s="67">
        <f t="shared" si="9"/>
        <v>0.75</v>
      </c>
    </row>
    <row r="61" spans="12:16">
      <c r="N61" s="67">
        <v>0.4375</v>
      </c>
      <c r="O61" s="67">
        <v>68.823759174873658</v>
      </c>
      <c r="P61" s="67">
        <f t="shared" si="9"/>
        <v>0.74</v>
      </c>
    </row>
    <row r="62" spans="12:16">
      <c r="N62" s="67">
        <v>0.46875</v>
      </c>
      <c r="O62" s="67">
        <v>69.766550396447272</v>
      </c>
      <c r="P62" s="67">
        <f t="shared" si="9"/>
        <v>0.73</v>
      </c>
    </row>
    <row r="63" spans="12:16">
      <c r="N63" s="67">
        <v>0.5</v>
      </c>
      <c r="O63" s="67">
        <v>70.735530263064589</v>
      </c>
      <c r="P63" s="67">
        <f t="shared" si="9"/>
        <v>0.72</v>
      </c>
    </row>
    <row r="64" spans="12:16">
      <c r="N64" s="67">
        <v>0.5625</v>
      </c>
      <c r="O64" s="67">
        <v>72.756545413437877</v>
      </c>
      <c r="P64" s="67">
        <f t="shared" si="9"/>
        <v>0.69999999999999984</v>
      </c>
    </row>
    <row r="65" spans="14:16">
      <c r="N65" s="67">
        <v>0.625</v>
      </c>
      <c r="O65" s="67">
        <v>74.896443807950746</v>
      </c>
      <c r="P65" s="67">
        <f t="shared" si="9"/>
        <v>0.67999999999999994</v>
      </c>
    </row>
  </sheetData>
  <sortState ref="L2:M64">
    <sortCondition ref="L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B2:AI175"/>
  <sheetViews>
    <sheetView workbookViewId="0">
      <selection activeCell="D186" sqref="D186"/>
    </sheetView>
  </sheetViews>
  <sheetFormatPr defaultRowHeight="15"/>
  <sheetData>
    <row r="2" spans="2:14">
      <c r="B2" s="76" t="s">
        <v>134</v>
      </c>
      <c r="C2" s="76"/>
      <c r="D2" s="76"/>
      <c r="E2" s="76"/>
      <c r="F2" s="76"/>
      <c r="G2" s="76"/>
      <c r="H2" s="76"/>
    </row>
    <row r="3" spans="2:14">
      <c r="B3" t="s">
        <v>18</v>
      </c>
      <c r="C3" t="s">
        <v>50</v>
      </c>
      <c r="D3" t="s">
        <v>136</v>
      </c>
      <c r="E3" t="s">
        <v>135</v>
      </c>
      <c r="F3" t="s">
        <v>137</v>
      </c>
      <c r="G3" t="s">
        <v>138</v>
      </c>
      <c r="H3" t="s">
        <v>131</v>
      </c>
      <c r="M3" t="s">
        <v>132</v>
      </c>
      <c r="N3" t="s">
        <v>133</v>
      </c>
    </row>
    <row r="4" spans="2:14">
      <c r="B4">
        <f>VLOOKUP(C4,wirelookup[],5,0)</f>
        <v>2.75</v>
      </c>
      <c r="C4">
        <v>0.1875</v>
      </c>
      <c r="D4">
        <f>VLOOKUP(C4,wirelookup[],2,0)/100</f>
        <v>114.2</v>
      </c>
      <c r="E4">
        <f>D4/((B4-C4)*PI())</f>
        <v>14.185751805732254</v>
      </c>
      <c r="F4">
        <f>D4/((E4+H4)*PI())</f>
        <v>2.3937562965086308</v>
      </c>
      <c r="G4">
        <f>F4-C4</f>
        <v>2.2062562965086308</v>
      </c>
      <c r="H4">
        <v>1</v>
      </c>
      <c r="L4">
        <v>0.1875</v>
      </c>
      <c r="M4">
        <f>VLOOKUP(L4,wirelookup[],4,0)*VLOOKUP(12500,cycles[],2,0)</f>
        <v>151.70018813189338</v>
      </c>
      <c r="N4">
        <f>M4/100</f>
        <v>1.5170018813189339</v>
      </c>
    </row>
    <row r="5" spans="2:14">
      <c r="B5">
        <f>VLOOKUP(C5,wirelookup[],5,0)</f>
        <v>2.75</v>
      </c>
      <c r="C5">
        <v>0.25</v>
      </c>
      <c r="D5">
        <f>VLOOKUP(C5,wirelookup[],2,0)/100</f>
        <v>360.93</v>
      </c>
      <c r="E5">
        <f t="shared" ref="E5:E68" si="0">D5/((B5-C5)*PI())</f>
        <v>45.955034888126228</v>
      </c>
      <c r="F5">
        <f t="shared" ref="F5:F68" si="1">D5/((E5+H5)*PI())</f>
        <v>2.4467575733687252</v>
      </c>
      <c r="G5">
        <f t="shared" ref="G5:G68" si="2">F5-C5</f>
        <v>2.1967575733687252</v>
      </c>
      <c r="H5">
        <v>1</v>
      </c>
      <c r="L5">
        <v>0.25</v>
      </c>
      <c r="M5">
        <f>VLOOKUP(L5,wirelookup[],4,0)*VLOOKUP(12500,cycles[],2,0)</f>
        <v>343.42447916666669</v>
      </c>
      <c r="N5">
        <f t="shared" ref="N5:N13" si="3">M5/100</f>
        <v>3.434244791666667</v>
      </c>
    </row>
    <row r="6" spans="2:14">
      <c r="B6">
        <f>VLOOKUP(C6,wirelookup[],5,0)</f>
        <v>2.75</v>
      </c>
      <c r="C6">
        <v>0.25</v>
      </c>
      <c r="D6">
        <f>VLOOKUP(C6,wirelookup[],2,0)/100</f>
        <v>360.93</v>
      </c>
      <c r="E6">
        <f t="shared" si="0"/>
        <v>45.955034888126228</v>
      </c>
      <c r="F6">
        <f t="shared" si="1"/>
        <v>2.3957356612988723</v>
      </c>
      <c r="G6">
        <f t="shared" si="2"/>
        <v>2.1457356612988723</v>
      </c>
      <c r="H6">
        <v>2</v>
      </c>
      <c r="L6">
        <v>0.3125</v>
      </c>
      <c r="M6">
        <f>VLOOKUP(L6,wirelookup[],4,0)*VLOOKUP(12500,cycles[],2,0)</f>
        <v>639.18618594898896</v>
      </c>
      <c r="N6">
        <f t="shared" si="3"/>
        <v>6.3918618594898895</v>
      </c>
    </row>
    <row r="7" spans="2:14">
      <c r="B7">
        <f>VLOOKUP(C7,wirelookup[],5,0)</f>
        <v>2.75</v>
      </c>
      <c r="C7">
        <v>0.25</v>
      </c>
      <c r="D7">
        <f>VLOOKUP(C7,wirelookup[],2,0)/100</f>
        <v>360.93</v>
      </c>
      <c r="E7">
        <f t="shared" si="0"/>
        <v>45.955034888126228</v>
      </c>
      <c r="F7">
        <f t="shared" si="1"/>
        <v>2.3467981890496192</v>
      </c>
      <c r="G7">
        <f t="shared" si="2"/>
        <v>2.0967981890496192</v>
      </c>
      <c r="H7">
        <v>3</v>
      </c>
      <c r="L7">
        <v>0.375</v>
      </c>
      <c r="M7">
        <f>VLOOKUP(L7,wirelookup[],4,0)*VLOOKUP(12500,cycles[],2,0)</f>
        <v>1077.2417853860295</v>
      </c>
      <c r="N7">
        <f t="shared" si="3"/>
        <v>10.772417853860295</v>
      </c>
    </row>
    <row r="8" spans="2:14">
      <c r="B8">
        <f>VLOOKUP(C8,wirelookup[],5,0)</f>
        <v>2.75</v>
      </c>
      <c r="C8">
        <v>0.3125</v>
      </c>
      <c r="D8">
        <f>VLOOKUP(C8,wirelookup[],2,0)/100</f>
        <v>881.19</v>
      </c>
      <c r="E8">
        <f t="shared" si="0"/>
        <v>115.0734312230952</v>
      </c>
      <c r="F8">
        <f t="shared" si="1"/>
        <v>2.4165003623196499</v>
      </c>
      <c r="G8">
        <f t="shared" si="2"/>
        <v>2.1040003623196499</v>
      </c>
      <c r="H8">
        <v>1</v>
      </c>
      <c r="L8">
        <v>0.40625</v>
      </c>
      <c r="M8">
        <f>VLOOKUP(L8,wirelookup[],4,0)*VLOOKUP(12500,cycles[],2,0)</f>
        <v>1324.5421316109453</v>
      </c>
      <c r="N8">
        <f t="shared" si="3"/>
        <v>13.245421316109452</v>
      </c>
    </row>
    <row r="9" spans="2:14">
      <c r="B9">
        <f>VLOOKUP(C9,wirelookup[],5,0)</f>
        <v>2.75</v>
      </c>
      <c r="C9">
        <v>0.3125</v>
      </c>
      <c r="D9">
        <f>VLOOKUP(C9,wirelookup[],2,0)/100</f>
        <v>881.19</v>
      </c>
      <c r="E9">
        <f t="shared" si="0"/>
        <v>115.0734312230952</v>
      </c>
      <c r="F9">
        <f t="shared" si="1"/>
        <v>2.3958594676514586</v>
      </c>
      <c r="G9">
        <f t="shared" si="2"/>
        <v>2.0833594676514586</v>
      </c>
      <c r="H9">
        <v>2</v>
      </c>
      <c r="L9">
        <v>0.4375</v>
      </c>
      <c r="M9">
        <f>VLOOKUP(L9,wirelookup[],4,0)*VLOOKUP(12500,cycles[],2,0)</f>
        <v>1645.6598020067402</v>
      </c>
      <c r="N9">
        <f t="shared" si="3"/>
        <v>16.456598020067403</v>
      </c>
    </row>
    <row r="10" spans="2:14">
      <c r="B10">
        <f>VLOOKUP(C10,wirelookup[],5,0)</f>
        <v>2.75</v>
      </c>
      <c r="C10">
        <v>0.3125</v>
      </c>
      <c r="D10">
        <f>VLOOKUP(C10,wirelookup[],2,0)/100</f>
        <v>881.19</v>
      </c>
      <c r="E10">
        <f t="shared" si="0"/>
        <v>115.0734312230952</v>
      </c>
      <c r="F10">
        <f t="shared" si="1"/>
        <v>2.3755682010825678</v>
      </c>
      <c r="G10">
        <f t="shared" si="2"/>
        <v>2.0630682010825678</v>
      </c>
      <c r="H10">
        <v>3</v>
      </c>
      <c r="L10">
        <v>0.46875</v>
      </c>
      <c r="M10">
        <f>VLOOKUP(L10,wirelookup[],4,0)*VLOOKUP(12500,cycles[],2,0)</f>
        <v>1970.824073342716</v>
      </c>
      <c r="N10">
        <f t="shared" si="3"/>
        <v>19.708240733427161</v>
      </c>
    </row>
    <row r="11" spans="2:14">
      <c r="B11">
        <f>VLOOKUP(C11,wirelookup[],5,0)</f>
        <v>2.75</v>
      </c>
      <c r="C11">
        <v>0.3125</v>
      </c>
      <c r="D11">
        <f>VLOOKUP(C11,wirelookup[],2,0)/100</f>
        <v>881.19</v>
      </c>
      <c r="E11">
        <f t="shared" si="0"/>
        <v>115.0734312230952</v>
      </c>
      <c r="F11">
        <f t="shared" si="1"/>
        <v>2.3556177538948004</v>
      </c>
      <c r="G11">
        <f t="shared" si="2"/>
        <v>2.0431177538948004</v>
      </c>
      <c r="H11">
        <v>4</v>
      </c>
      <c r="L11">
        <v>0.5</v>
      </c>
      <c r="M11">
        <f>VLOOKUP(L11,wirelookup[],4,0)*VLOOKUP(12500,cycles[],2,0)</f>
        <v>2327.205882352941</v>
      </c>
      <c r="N11">
        <f t="shared" si="3"/>
        <v>23.272058823529409</v>
      </c>
    </row>
    <row r="12" spans="2:14">
      <c r="B12">
        <f>VLOOKUP(C12,wirelookup[],5,0)</f>
        <v>2.75</v>
      </c>
      <c r="C12">
        <v>0.3125</v>
      </c>
      <c r="D12">
        <f>VLOOKUP(C12,wirelookup[],2,0)/100</f>
        <v>881.19</v>
      </c>
      <c r="E12">
        <f t="shared" si="0"/>
        <v>115.0734312230952</v>
      </c>
      <c r="F12">
        <f t="shared" si="1"/>
        <v>2.3359996108143544</v>
      </c>
      <c r="G12">
        <f t="shared" si="2"/>
        <v>2.0234996108143544</v>
      </c>
      <c r="H12">
        <v>5</v>
      </c>
      <c r="L12">
        <v>0.5625</v>
      </c>
      <c r="M12">
        <f>VLOOKUP(L12,wirelookup[],4,0)*VLOOKUP(12500,cycles[],2,0)</f>
        <v>3221.4983771829047</v>
      </c>
      <c r="N12">
        <f t="shared" si="3"/>
        <v>32.214983771829047</v>
      </c>
    </row>
    <row r="13" spans="2:14">
      <c r="B13">
        <f>VLOOKUP(C13,wirelookup[],5,0)</f>
        <v>2.75</v>
      </c>
      <c r="C13">
        <v>0.3125</v>
      </c>
      <c r="D13">
        <f>VLOOKUP(C13,wirelookup[],2,0)/100</f>
        <v>881.19</v>
      </c>
      <c r="E13">
        <f t="shared" si="0"/>
        <v>115.0734312230952</v>
      </c>
      <c r="F13">
        <f t="shared" si="1"/>
        <v>2.3167055378933519</v>
      </c>
      <c r="G13">
        <f t="shared" si="2"/>
        <v>2.0042055378933519</v>
      </c>
      <c r="H13">
        <v>6</v>
      </c>
      <c r="L13">
        <v>0.625</v>
      </c>
      <c r="M13">
        <f>VLOOKUP(L13,wirelookup[],4,0)*VLOOKUP(12500,cycles[],2,0)</f>
        <v>43559.354894301476</v>
      </c>
      <c r="N13">
        <f t="shared" si="3"/>
        <v>435.59354894301475</v>
      </c>
    </row>
    <row r="14" spans="2:14">
      <c r="B14">
        <f>VLOOKUP(C14,wirelookup[],5,0)</f>
        <v>3.75</v>
      </c>
      <c r="C14">
        <v>0.375</v>
      </c>
      <c r="D14">
        <f>VLOOKUP(C14,wirelookup[],2,0)/100</f>
        <v>1827.24</v>
      </c>
      <c r="E14">
        <f t="shared" si="0"/>
        <v>172.33438709050955</v>
      </c>
      <c r="F14">
        <f t="shared" si="1"/>
        <v>3.3555289645254422</v>
      </c>
      <c r="G14">
        <f t="shared" si="2"/>
        <v>2.9805289645254422</v>
      </c>
      <c r="H14">
        <v>1</v>
      </c>
    </row>
    <row r="15" spans="2:14">
      <c r="B15">
        <f>VLOOKUP(C15,wirelookup[],5,0)</f>
        <v>3.75</v>
      </c>
      <c r="C15">
        <v>0.375</v>
      </c>
      <c r="D15">
        <f>VLOOKUP(C15,wirelookup[],2,0)/100</f>
        <v>1827.24</v>
      </c>
      <c r="E15">
        <f t="shared" si="0"/>
        <v>172.33438709050955</v>
      </c>
      <c r="F15">
        <f t="shared" si="1"/>
        <v>3.3362813047807052</v>
      </c>
      <c r="G15">
        <f t="shared" si="2"/>
        <v>2.9612813047807052</v>
      </c>
      <c r="H15">
        <v>2</v>
      </c>
    </row>
    <row r="16" spans="2:14">
      <c r="B16">
        <f>VLOOKUP(C16,wirelookup[],5,0)</f>
        <v>3.75</v>
      </c>
      <c r="C16">
        <v>0.375</v>
      </c>
      <c r="D16">
        <f>VLOOKUP(C16,wirelookup[],2,0)/100</f>
        <v>1827.24</v>
      </c>
      <c r="E16">
        <f t="shared" si="0"/>
        <v>172.33438709050955</v>
      </c>
      <c r="F16">
        <f t="shared" si="1"/>
        <v>3.3172531987705676</v>
      </c>
      <c r="G16">
        <f t="shared" si="2"/>
        <v>2.9422531987705676</v>
      </c>
      <c r="H16">
        <v>3</v>
      </c>
    </row>
    <row r="17" spans="2:8">
      <c r="B17">
        <f>VLOOKUP(C17,wirelookup[],5,0)</f>
        <v>3.75</v>
      </c>
      <c r="C17">
        <v>0.375</v>
      </c>
      <c r="D17">
        <f>VLOOKUP(C17,wirelookup[],2,0)/100</f>
        <v>1827.24</v>
      </c>
      <c r="E17">
        <f t="shared" si="0"/>
        <v>172.33438709050955</v>
      </c>
      <c r="F17">
        <f t="shared" si="1"/>
        <v>3.2984409111986155</v>
      </c>
      <c r="G17">
        <f t="shared" si="2"/>
        <v>2.9234409111986155</v>
      </c>
      <c r="H17">
        <v>4</v>
      </c>
    </row>
    <row r="18" spans="2:8">
      <c r="B18">
        <f>VLOOKUP(C18,wirelookup[],5,0)</f>
        <v>3.75</v>
      </c>
      <c r="C18">
        <v>0.375</v>
      </c>
      <c r="D18">
        <f>VLOOKUP(C18,wirelookup[],2,0)/100</f>
        <v>1827.24</v>
      </c>
      <c r="E18">
        <f t="shared" si="0"/>
        <v>172.33438709050955</v>
      </c>
      <c r="F18">
        <f t="shared" si="1"/>
        <v>3.2798407910227407</v>
      </c>
      <c r="G18">
        <f t="shared" si="2"/>
        <v>2.9048407910227407</v>
      </c>
      <c r="H18">
        <v>5</v>
      </c>
    </row>
    <row r="19" spans="2:8">
      <c r="B19">
        <f>VLOOKUP(C19,wirelookup[],5,0)</f>
        <v>3.75</v>
      </c>
      <c r="C19">
        <v>0.375</v>
      </c>
      <c r="D19">
        <f>VLOOKUP(C19,wirelookup[],2,0)/100</f>
        <v>1827.24</v>
      </c>
      <c r="E19">
        <f t="shared" si="0"/>
        <v>172.33438709050955</v>
      </c>
      <c r="F19">
        <f t="shared" si="1"/>
        <v>3.2614492690928829</v>
      </c>
      <c r="G19">
        <f t="shared" si="2"/>
        <v>2.8864492690928829</v>
      </c>
      <c r="H19">
        <v>6</v>
      </c>
    </row>
    <row r="20" spans="2:8">
      <c r="B20">
        <f>VLOOKUP(C20,wirelookup[],5,0)</f>
        <v>3.75</v>
      </c>
      <c r="C20">
        <v>0.375</v>
      </c>
      <c r="D20">
        <f>VLOOKUP(C20,wirelookup[],2,0)/100</f>
        <v>1827.24</v>
      </c>
      <c r="E20">
        <f t="shared" si="0"/>
        <v>172.33438709050955</v>
      </c>
      <c r="F20">
        <f t="shared" si="1"/>
        <v>3.2432628558678118</v>
      </c>
      <c r="G20">
        <f t="shared" si="2"/>
        <v>2.8682628558678118</v>
      </c>
      <c r="H20">
        <v>7</v>
      </c>
    </row>
    <row r="21" spans="2:8">
      <c r="B21">
        <f>VLOOKUP(C21,wirelookup[],5,0)</f>
        <v>3.75</v>
      </c>
      <c r="C21">
        <v>0.375</v>
      </c>
      <c r="D21">
        <f>VLOOKUP(C21,wirelookup[],2,0)/100</f>
        <v>1827.24</v>
      </c>
      <c r="E21">
        <f t="shared" si="0"/>
        <v>172.33438709050955</v>
      </c>
      <c r="F21">
        <f t="shared" si="1"/>
        <v>3.225278139207866</v>
      </c>
      <c r="G21">
        <f t="shared" si="2"/>
        <v>2.850278139207866</v>
      </c>
      <c r="H21">
        <v>8</v>
      </c>
    </row>
    <row r="22" spans="2:8">
      <c r="B22">
        <f>VLOOKUP(C22,wirelookup[],5,0)</f>
        <v>3.75</v>
      </c>
      <c r="C22">
        <v>0.375</v>
      </c>
      <c r="D22">
        <f>VLOOKUP(C22,wirelookup[],2,0)/100</f>
        <v>1827.24</v>
      </c>
      <c r="E22">
        <f t="shared" si="0"/>
        <v>172.33438709050955</v>
      </c>
      <c r="F22">
        <f t="shared" si="1"/>
        <v>3.2074917822407341</v>
      </c>
      <c r="G22">
        <f t="shared" si="2"/>
        <v>2.8324917822407341</v>
      </c>
      <c r="H22">
        <v>9</v>
      </c>
    </row>
    <row r="23" spans="2:8">
      <c r="B23">
        <f>VLOOKUP(C23,wirelookup[],5,0)</f>
        <v>3.75</v>
      </c>
      <c r="C23">
        <v>0.375</v>
      </c>
      <c r="D23">
        <f>VLOOKUP(C23,wirelookup[],2,0)/100</f>
        <v>1827.24</v>
      </c>
      <c r="E23">
        <f t="shared" si="0"/>
        <v>172.33438709050955</v>
      </c>
      <c r="F23">
        <f t="shared" si="1"/>
        <v>3.1899005212974623</v>
      </c>
      <c r="G23">
        <f t="shared" si="2"/>
        <v>2.8149005212974623</v>
      </c>
      <c r="H23">
        <v>10</v>
      </c>
    </row>
    <row r="24" spans="2:8">
      <c r="B24">
        <f>VLOOKUP(C24,wirelookup[],5,0)</f>
        <v>3.75</v>
      </c>
      <c r="C24">
        <v>0.40625</v>
      </c>
      <c r="D24">
        <f>VLOOKUP(C24,wirelookup[],2,0)/100</f>
        <v>2515.46</v>
      </c>
      <c r="E24">
        <f t="shared" si="0"/>
        <v>239.4604220709916</v>
      </c>
      <c r="F24">
        <f t="shared" si="1"/>
        <v>3.3298443852164876</v>
      </c>
      <c r="G24">
        <f t="shared" si="2"/>
        <v>2.9235943852164876</v>
      </c>
      <c r="H24">
        <v>1</v>
      </c>
    </row>
    <row r="25" spans="2:8">
      <c r="B25">
        <f>VLOOKUP(C25,wirelookup[],5,0)</f>
        <v>3.75</v>
      </c>
      <c r="C25">
        <v>0.40625</v>
      </c>
      <c r="D25">
        <f>VLOOKUP(C25,wirelookup[],2,0)/100</f>
        <v>2515.46</v>
      </c>
      <c r="E25">
        <f t="shared" si="0"/>
        <v>239.4604220709916</v>
      </c>
      <c r="F25">
        <f t="shared" si="1"/>
        <v>3.316053949679862</v>
      </c>
      <c r="G25">
        <f t="shared" si="2"/>
        <v>2.909803949679862</v>
      </c>
      <c r="H25">
        <v>2</v>
      </c>
    </row>
    <row r="26" spans="2:8">
      <c r="B26">
        <f>VLOOKUP(C26,wirelookup[],5,0)</f>
        <v>3.75</v>
      </c>
      <c r="C26">
        <v>0.40625</v>
      </c>
      <c r="D26">
        <f>VLOOKUP(C26,wirelookup[],2,0)/100</f>
        <v>2515.46</v>
      </c>
      <c r="E26">
        <f t="shared" si="0"/>
        <v>239.4604220709916</v>
      </c>
      <c r="F26">
        <f t="shared" si="1"/>
        <v>3.30237726825963</v>
      </c>
      <c r="G26">
        <f t="shared" si="2"/>
        <v>2.89612726825963</v>
      </c>
      <c r="H26">
        <v>3</v>
      </c>
    </row>
    <row r="27" spans="2:8">
      <c r="B27">
        <f>VLOOKUP(C27,wirelookup[],5,0)</f>
        <v>3.75</v>
      </c>
      <c r="C27">
        <v>0.40625</v>
      </c>
      <c r="D27">
        <f>VLOOKUP(C27,wirelookup[],2,0)/100</f>
        <v>2515.46</v>
      </c>
      <c r="E27">
        <f t="shared" si="0"/>
        <v>239.4604220709916</v>
      </c>
      <c r="F27">
        <f t="shared" si="1"/>
        <v>3.2888129392398735</v>
      </c>
      <c r="G27">
        <f t="shared" si="2"/>
        <v>2.8825629392398735</v>
      </c>
      <c r="H27">
        <v>4</v>
      </c>
    </row>
    <row r="28" spans="2:8">
      <c r="B28">
        <f>VLOOKUP(C28,wirelookup[],5,0)</f>
        <v>3.75</v>
      </c>
      <c r="C28">
        <v>0.40625</v>
      </c>
      <c r="D28">
        <f>VLOOKUP(C28,wirelookup[],2,0)/100</f>
        <v>2515.46</v>
      </c>
      <c r="E28">
        <f t="shared" si="0"/>
        <v>239.4604220709916</v>
      </c>
      <c r="F28">
        <f t="shared" si="1"/>
        <v>3.2753595838403449</v>
      </c>
      <c r="G28">
        <f t="shared" si="2"/>
        <v>2.8691095838403449</v>
      </c>
      <c r="H28">
        <v>5</v>
      </c>
    </row>
    <row r="29" spans="2:8">
      <c r="B29">
        <f>VLOOKUP(C29,wirelookup[],5,0)</f>
        <v>3.75</v>
      </c>
      <c r="C29">
        <v>0.40625</v>
      </c>
      <c r="D29">
        <f>VLOOKUP(C29,wirelookup[],2,0)/100</f>
        <v>2515.46</v>
      </c>
      <c r="E29">
        <f t="shared" si="0"/>
        <v>239.4604220709916</v>
      </c>
      <c r="F29">
        <f t="shared" si="1"/>
        <v>3.2620158457492687</v>
      </c>
      <c r="G29">
        <f t="shared" si="2"/>
        <v>2.8557658457492687</v>
      </c>
      <c r="H29">
        <v>6</v>
      </c>
    </row>
    <row r="30" spans="2:8">
      <c r="B30">
        <f>VLOOKUP(C30,wirelookup[],5,0)</f>
        <v>3.75</v>
      </c>
      <c r="C30">
        <v>0.40625</v>
      </c>
      <c r="D30">
        <f>VLOOKUP(C30,wirelookup[],2,0)/100</f>
        <v>2515.46</v>
      </c>
      <c r="E30">
        <f t="shared" si="0"/>
        <v>239.4604220709916</v>
      </c>
      <c r="F30">
        <f t="shared" si="1"/>
        <v>3.2487803906675206</v>
      </c>
      <c r="G30">
        <f t="shared" si="2"/>
        <v>2.8425303906675206</v>
      </c>
      <c r="H30">
        <v>7</v>
      </c>
    </row>
    <row r="31" spans="2:8">
      <c r="B31">
        <f>VLOOKUP(C31,wirelookup[],5,0)</f>
        <v>3.75</v>
      </c>
      <c r="C31">
        <v>0.40625</v>
      </c>
      <c r="D31">
        <f>VLOOKUP(C31,wirelookup[],2,0)/100</f>
        <v>2515.46</v>
      </c>
      <c r="E31">
        <f t="shared" si="0"/>
        <v>239.4604220709916</v>
      </c>
      <c r="F31">
        <f t="shared" si="1"/>
        <v>3.2356519058638558</v>
      </c>
      <c r="G31">
        <f t="shared" si="2"/>
        <v>2.8294019058638558</v>
      </c>
      <c r="H31">
        <v>8</v>
      </c>
    </row>
    <row r="32" spans="2:8">
      <c r="B32">
        <f>VLOOKUP(C32,wirelookup[],5,0)</f>
        <v>3.75</v>
      </c>
      <c r="C32">
        <v>0.40625</v>
      </c>
      <c r="D32">
        <f>VLOOKUP(C32,wirelookup[],2,0)/100</f>
        <v>2515.46</v>
      </c>
      <c r="E32">
        <f t="shared" si="0"/>
        <v>239.4604220709916</v>
      </c>
      <c r="F32">
        <f t="shared" si="1"/>
        <v>3.2226290997408777</v>
      </c>
      <c r="G32">
        <f t="shared" si="2"/>
        <v>2.8163790997408777</v>
      </c>
      <c r="H32">
        <v>9</v>
      </c>
    </row>
    <row r="33" spans="2:8">
      <c r="B33">
        <f>VLOOKUP(C33,wirelookup[],5,0)</f>
        <v>3.75</v>
      </c>
      <c r="C33">
        <v>0.40625</v>
      </c>
      <c r="D33">
        <f>VLOOKUP(C33,wirelookup[],2,0)/100</f>
        <v>2515.46</v>
      </c>
      <c r="E33">
        <f t="shared" si="0"/>
        <v>239.4604220709916</v>
      </c>
      <c r="F33">
        <f t="shared" si="1"/>
        <v>3.2097107014114474</v>
      </c>
      <c r="G33">
        <f t="shared" si="2"/>
        <v>2.8034607014114474</v>
      </c>
      <c r="H33">
        <v>10</v>
      </c>
    </row>
    <row r="34" spans="2:8">
      <c r="B34">
        <f>VLOOKUP(C34,wirelookup[],5,0)</f>
        <v>3.75</v>
      </c>
      <c r="C34">
        <v>0.40625</v>
      </c>
      <c r="D34">
        <f>VLOOKUP(C34,wirelookup[],2,0)/100</f>
        <v>2515.46</v>
      </c>
      <c r="E34">
        <f t="shared" si="0"/>
        <v>239.4604220709916</v>
      </c>
      <c r="F34">
        <f t="shared" si="1"/>
        <v>3.1968954602852402</v>
      </c>
      <c r="G34">
        <f t="shared" si="2"/>
        <v>2.7906454602852402</v>
      </c>
      <c r="H34">
        <v>11</v>
      </c>
    </row>
    <row r="35" spans="2:8">
      <c r="B35">
        <f>VLOOKUP(C35,wirelookup[],5,0)</f>
        <v>3.75</v>
      </c>
      <c r="C35">
        <v>0.40625</v>
      </c>
      <c r="D35">
        <f>VLOOKUP(C35,wirelookup[],2,0)/100</f>
        <v>2515.46</v>
      </c>
      <c r="E35">
        <f t="shared" si="0"/>
        <v>239.4604220709916</v>
      </c>
      <c r="F35">
        <f t="shared" si="1"/>
        <v>3.1841821456651656</v>
      </c>
      <c r="G35">
        <f t="shared" si="2"/>
        <v>2.7779321456651656</v>
      </c>
      <c r="H35">
        <v>12</v>
      </c>
    </row>
    <row r="36" spans="2:8">
      <c r="B36">
        <f>VLOOKUP(C36,wirelookup[],5,0)</f>
        <v>3.75</v>
      </c>
      <c r="C36">
        <v>0.40625</v>
      </c>
      <c r="D36">
        <f>VLOOKUP(C36,wirelookup[],2,0)/100</f>
        <v>2515.46</v>
      </c>
      <c r="E36">
        <f t="shared" si="0"/>
        <v>239.4604220709916</v>
      </c>
      <c r="F36">
        <f t="shared" si="1"/>
        <v>3.1715695463533815</v>
      </c>
      <c r="G36">
        <f t="shared" si="2"/>
        <v>2.7653195463533815</v>
      </c>
      <c r="H36">
        <v>13</v>
      </c>
    </row>
    <row r="37" spans="2:8">
      <c r="B37">
        <f>VLOOKUP(C37,wirelookup[],5,0)</f>
        <v>3.75</v>
      </c>
      <c r="C37">
        <v>0.4375</v>
      </c>
      <c r="D37">
        <f>VLOOKUP(C37,wirelookup[],2,0)/100</f>
        <v>3384.48</v>
      </c>
      <c r="E37">
        <f t="shared" si="0"/>
        <v>325.22669995209537</v>
      </c>
      <c r="F37">
        <f t="shared" si="1"/>
        <v>3.3023460181202631</v>
      </c>
      <c r="G37">
        <f t="shared" si="2"/>
        <v>2.8648460181202631</v>
      </c>
      <c r="H37">
        <v>1</v>
      </c>
    </row>
    <row r="38" spans="2:8">
      <c r="B38">
        <f>VLOOKUP(C38,wirelookup[],5,0)</f>
        <v>3.75</v>
      </c>
      <c r="C38">
        <v>0.4375</v>
      </c>
      <c r="D38">
        <f>VLOOKUP(C38,wirelookup[],2,0)/100</f>
        <v>3384.48</v>
      </c>
      <c r="E38">
        <f t="shared" si="0"/>
        <v>325.22669995209537</v>
      </c>
      <c r="F38">
        <f t="shared" si="1"/>
        <v>3.2922540970801895</v>
      </c>
      <c r="G38">
        <f t="shared" si="2"/>
        <v>2.8547540970801895</v>
      </c>
      <c r="H38">
        <v>2</v>
      </c>
    </row>
    <row r="39" spans="2:8">
      <c r="B39">
        <f>VLOOKUP(C39,wirelookup[],5,0)</f>
        <v>3.75</v>
      </c>
      <c r="C39">
        <v>0.4375</v>
      </c>
      <c r="D39">
        <f>VLOOKUP(C39,wirelookup[],2,0)/100</f>
        <v>3384.48</v>
      </c>
      <c r="E39">
        <f t="shared" si="0"/>
        <v>325.22669995209537</v>
      </c>
      <c r="F39">
        <f t="shared" si="1"/>
        <v>3.2822236696422005</v>
      </c>
      <c r="G39">
        <f t="shared" si="2"/>
        <v>2.8447236696422005</v>
      </c>
      <c r="H39">
        <v>3</v>
      </c>
    </row>
    <row r="40" spans="2:8">
      <c r="B40">
        <f>VLOOKUP(C40,wirelookup[],5,0)</f>
        <v>3.75</v>
      </c>
      <c r="C40">
        <v>0.4375</v>
      </c>
      <c r="D40">
        <f>VLOOKUP(C40,wirelookup[],2,0)/100</f>
        <v>3384.48</v>
      </c>
      <c r="E40">
        <f t="shared" si="0"/>
        <v>325.22669995209537</v>
      </c>
      <c r="F40">
        <f t="shared" si="1"/>
        <v>3.2722541754604713</v>
      </c>
      <c r="G40">
        <f t="shared" si="2"/>
        <v>2.8347541754604713</v>
      </c>
      <c r="H40">
        <v>4</v>
      </c>
    </row>
    <row r="41" spans="2:8">
      <c r="B41">
        <f>VLOOKUP(C41,wirelookup[],5,0)</f>
        <v>3.75</v>
      </c>
      <c r="C41">
        <v>0.4375</v>
      </c>
      <c r="D41">
        <f>VLOOKUP(C41,wirelookup[],2,0)/100</f>
        <v>3384.48</v>
      </c>
      <c r="E41">
        <f t="shared" si="0"/>
        <v>325.22669995209537</v>
      </c>
      <c r="F41">
        <f t="shared" si="1"/>
        <v>3.2623450609765881</v>
      </c>
      <c r="G41">
        <f t="shared" si="2"/>
        <v>2.8248450609765881</v>
      </c>
      <c r="H41">
        <v>5</v>
      </c>
    </row>
    <row r="42" spans="2:8">
      <c r="B42">
        <f>VLOOKUP(C42,wirelookup[],5,0)</f>
        <v>3.75</v>
      </c>
      <c r="C42">
        <v>0.4375</v>
      </c>
      <c r="D42">
        <f>VLOOKUP(C42,wirelookup[],2,0)/100</f>
        <v>3384.48</v>
      </c>
      <c r="E42">
        <f t="shared" si="0"/>
        <v>325.22669995209537</v>
      </c>
      <c r="F42">
        <f t="shared" si="1"/>
        <v>3.2524957793170826</v>
      </c>
      <c r="G42">
        <f t="shared" si="2"/>
        <v>2.8149957793170826</v>
      </c>
      <c r="H42">
        <v>6</v>
      </c>
    </row>
    <row r="43" spans="2:8">
      <c r="B43">
        <f>VLOOKUP(C43,wirelookup[],5,0)</f>
        <v>3.75</v>
      </c>
      <c r="C43">
        <v>0.4375</v>
      </c>
      <c r="D43">
        <f>VLOOKUP(C43,wirelookup[],2,0)/100</f>
        <v>3384.48</v>
      </c>
      <c r="E43">
        <f t="shared" si="0"/>
        <v>325.22669995209537</v>
      </c>
      <c r="F43">
        <f t="shared" si="1"/>
        <v>3.2427057901928311</v>
      </c>
      <c r="G43">
        <f t="shared" si="2"/>
        <v>2.8052057901928311</v>
      </c>
      <c r="H43">
        <v>7</v>
      </c>
    </row>
    <row r="44" spans="2:8">
      <c r="B44">
        <f>VLOOKUP(C44,wirelookup[],5,0)</f>
        <v>3.75</v>
      </c>
      <c r="C44">
        <v>0.4375</v>
      </c>
      <c r="D44">
        <f>VLOOKUP(C44,wirelookup[],2,0)/100</f>
        <v>3384.48</v>
      </c>
      <c r="E44">
        <f t="shared" si="0"/>
        <v>325.22669995209537</v>
      </c>
      <c r="F44">
        <f t="shared" si="1"/>
        <v>3.2329745598002511</v>
      </c>
      <c r="G44">
        <f t="shared" si="2"/>
        <v>2.7954745598002511</v>
      </c>
      <c r="H44">
        <v>8</v>
      </c>
    </row>
    <row r="45" spans="2:8">
      <c r="B45">
        <f>VLOOKUP(C45,wirelookup[],5,0)</f>
        <v>3.75</v>
      </c>
      <c r="C45">
        <v>0.4375</v>
      </c>
      <c r="D45">
        <f>VLOOKUP(C45,wirelookup[],2,0)/100</f>
        <v>3384.48</v>
      </c>
      <c r="E45">
        <f t="shared" si="0"/>
        <v>325.22669995209537</v>
      </c>
      <c r="F45">
        <f t="shared" si="1"/>
        <v>3.2233015607242832</v>
      </c>
      <c r="G45">
        <f t="shared" si="2"/>
        <v>2.7858015607242832</v>
      </c>
      <c r="H45">
        <v>9</v>
      </c>
    </row>
    <row r="46" spans="2:8">
      <c r="B46">
        <f>VLOOKUP(C46,wirelookup[],5,0)</f>
        <v>3.75</v>
      </c>
      <c r="C46">
        <v>0.4375</v>
      </c>
      <c r="D46">
        <f>VLOOKUP(C46,wirelookup[],2,0)/100</f>
        <v>3384.48</v>
      </c>
      <c r="E46">
        <f t="shared" si="0"/>
        <v>325.22669995209537</v>
      </c>
      <c r="F46">
        <f t="shared" si="1"/>
        <v>3.2136862718431032</v>
      </c>
      <c r="G46">
        <f t="shared" si="2"/>
        <v>2.7761862718431032</v>
      </c>
      <c r="H46">
        <v>10</v>
      </c>
    </row>
    <row r="47" spans="2:8">
      <c r="B47">
        <f>VLOOKUP(C47,wirelookup[],5,0)</f>
        <v>3.75</v>
      </c>
      <c r="C47">
        <v>0.4375</v>
      </c>
      <c r="D47">
        <f>VLOOKUP(C47,wirelookup[],2,0)/100</f>
        <v>3384.48</v>
      </c>
      <c r="E47">
        <f t="shared" si="0"/>
        <v>325.22669995209537</v>
      </c>
      <c r="F47">
        <f t="shared" si="1"/>
        <v>3.2041281782345314</v>
      </c>
      <c r="G47">
        <f t="shared" si="2"/>
        <v>2.7666281782345314</v>
      </c>
      <c r="H47">
        <v>11</v>
      </c>
    </row>
    <row r="48" spans="2:8">
      <c r="B48">
        <f>VLOOKUP(C48,wirelookup[],5,0)</f>
        <v>3.75</v>
      </c>
      <c r="C48">
        <v>0.4375</v>
      </c>
      <c r="D48">
        <f>VLOOKUP(C48,wirelookup[],2,0)/100</f>
        <v>3384.48</v>
      </c>
      <c r="E48">
        <f t="shared" si="0"/>
        <v>325.22669995209537</v>
      </c>
      <c r="F48">
        <f t="shared" si="1"/>
        <v>3.1946267710841205</v>
      </c>
      <c r="G48">
        <f t="shared" si="2"/>
        <v>2.7571267710841205</v>
      </c>
      <c r="H48">
        <v>12</v>
      </c>
    </row>
    <row r="49" spans="2:8">
      <c r="B49">
        <f>VLOOKUP(C49,wirelookup[],5,0)</f>
        <v>3.75</v>
      </c>
      <c r="C49">
        <v>0.4375</v>
      </c>
      <c r="D49">
        <f>VLOOKUP(C49,wirelookup[],2,0)/100</f>
        <v>3384.48</v>
      </c>
      <c r="E49">
        <f t="shared" si="0"/>
        <v>325.22669995209537</v>
      </c>
      <c r="F49">
        <f t="shared" si="1"/>
        <v>3.1851815475948553</v>
      </c>
      <c r="G49">
        <f t="shared" si="2"/>
        <v>2.7476815475948553</v>
      </c>
      <c r="H49">
        <v>13</v>
      </c>
    </row>
    <row r="50" spans="2:8">
      <c r="B50">
        <f>VLOOKUP(C50,wirelookup[],5,0)</f>
        <v>3.75</v>
      </c>
      <c r="C50">
        <v>0.4375</v>
      </c>
      <c r="D50">
        <f>VLOOKUP(C50,wirelookup[],2,0)/100</f>
        <v>3384.48</v>
      </c>
      <c r="E50">
        <f t="shared" si="0"/>
        <v>325.22669995209537</v>
      </c>
      <c r="F50">
        <f t="shared" si="1"/>
        <v>3.1757920108984674</v>
      </c>
      <c r="G50">
        <f t="shared" si="2"/>
        <v>2.7382920108984674</v>
      </c>
      <c r="H50">
        <v>14</v>
      </c>
    </row>
    <row r="51" spans="2:8">
      <c r="B51">
        <f>VLOOKUP(C51,wirelookup[],5,0)</f>
        <v>3.75</v>
      </c>
      <c r="C51">
        <v>0.4375</v>
      </c>
      <c r="D51">
        <f>VLOOKUP(C51,wirelookup[],2,0)/100</f>
        <v>3384.48</v>
      </c>
      <c r="E51">
        <f t="shared" si="0"/>
        <v>325.22669995209537</v>
      </c>
      <c r="F51">
        <f t="shared" si="1"/>
        <v>3.1664576699683002</v>
      </c>
      <c r="G51">
        <f t="shared" si="2"/>
        <v>2.7289576699683002</v>
      </c>
      <c r="H51">
        <v>15</v>
      </c>
    </row>
    <row r="52" spans="2:8">
      <c r="B52">
        <f>VLOOKUP(C52,wirelookup[],5,0)</f>
        <v>3.75</v>
      </c>
      <c r="C52">
        <v>0.4375</v>
      </c>
      <c r="D52">
        <f>VLOOKUP(C52,wirelookup[],2,0)/100</f>
        <v>3384.48</v>
      </c>
      <c r="E52">
        <f t="shared" si="0"/>
        <v>325.22669995209537</v>
      </c>
      <c r="F52">
        <f t="shared" si="1"/>
        <v>3.1571780395337159</v>
      </c>
      <c r="G52">
        <f t="shared" si="2"/>
        <v>2.7196780395337159</v>
      </c>
      <c r="H52">
        <v>16</v>
      </c>
    </row>
    <row r="53" spans="2:8">
      <c r="B53">
        <f>VLOOKUP(C53,wirelookup[],5,0)</f>
        <v>3.75</v>
      </c>
      <c r="C53">
        <v>0.46875</v>
      </c>
      <c r="D53">
        <f>VLOOKUP(C53,wirelookup[],2,0)/100</f>
        <v>4458.07</v>
      </c>
      <c r="E53">
        <f t="shared" si="0"/>
        <v>432.4716965483799</v>
      </c>
      <c r="F53">
        <f t="shared" si="1"/>
        <v>3.273680301618012</v>
      </c>
      <c r="G53">
        <f t="shared" si="2"/>
        <v>2.804930301618012</v>
      </c>
      <c r="H53">
        <v>1</v>
      </c>
    </row>
    <row r="54" spans="2:8">
      <c r="B54">
        <f>VLOOKUP(C54,wirelookup[],5,0)</f>
        <v>3.75</v>
      </c>
      <c r="C54">
        <v>0.46875</v>
      </c>
      <c r="D54">
        <f>VLOOKUP(C54,wirelookup[],2,0)/100</f>
        <v>4458.07</v>
      </c>
      <c r="E54">
        <f t="shared" si="0"/>
        <v>432.4716965483799</v>
      </c>
      <c r="F54">
        <f t="shared" si="1"/>
        <v>3.2661454487665482</v>
      </c>
      <c r="G54">
        <f t="shared" si="2"/>
        <v>2.7973954487665482</v>
      </c>
      <c r="H54">
        <v>2</v>
      </c>
    </row>
    <row r="55" spans="2:8">
      <c r="B55">
        <f>VLOOKUP(C55,wirelookup[],5,0)</f>
        <v>3.75</v>
      </c>
      <c r="C55">
        <v>0.46875</v>
      </c>
      <c r="D55">
        <f>VLOOKUP(C55,wirelookup[],2,0)/100</f>
        <v>4458.07</v>
      </c>
      <c r="E55">
        <f t="shared" si="0"/>
        <v>432.4716965483799</v>
      </c>
      <c r="F55">
        <f t="shared" si="1"/>
        <v>3.2586452013919089</v>
      </c>
      <c r="G55">
        <f t="shared" si="2"/>
        <v>2.7898952013919089</v>
      </c>
      <c r="H55">
        <v>3</v>
      </c>
    </row>
    <row r="56" spans="2:8">
      <c r="B56">
        <f>VLOOKUP(C56,wirelookup[],5,0)</f>
        <v>3.75</v>
      </c>
      <c r="C56">
        <v>0.46875</v>
      </c>
      <c r="D56">
        <f>VLOOKUP(C56,wirelookup[],2,0)/100</f>
        <v>4458.07</v>
      </c>
      <c r="E56">
        <f t="shared" si="0"/>
        <v>432.4716965483799</v>
      </c>
      <c r="F56">
        <f t="shared" si="1"/>
        <v>3.2511793216403437</v>
      </c>
      <c r="G56">
        <f t="shared" si="2"/>
        <v>2.7824293216403437</v>
      </c>
      <c r="H56">
        <v>4</v>
      </c>
    </row>
    <row r="57" spans="2:8">
      <c r="B57">
        <f>VLOOKUP(C57,wirelookup[],5,0)</f>
        <v>3.75</v>
      </c>
      <c r="C57">
        <v>0.46875</v>
      </c>
      <c r="D57">
        <f>VLOOKUP(C57,wirelookup[],2,0)/100</f>
        <v>4458.07</v>
      </c>
      <c r="E57">
        <f t="shared" si="0"/>
        <v>432.4716965483799</v>
      </c>
      <c r="F57">
        <f t="shared" si="1"/>
        <v>3.2437475738329038</v>
      </c>
      <c r="G57">
        <f t="shared" si="2"/>
        <v>2.7749975738329038</v>
      </c>
      <c r="H57">
        <v>5</v>
      </c>
    </row>
    <row r="58" spans="2:8">
      <c r="B58">
        <f>VLOOKUP(C58,wirelookup[],5,0)</f>
        <v>3.75</v>
      </c>
      <c r="C58">
        <v>0.46875</v>
      </c>
      <c r="D58">
        <f>VLOOKUP(C58,wirelookup[],2,0)/100</f>
        <v>4458.07</v>
      </c>
      <c r="E58">
        <f t="shared" si="0"/>
        <v>432.4716965483799</v>
      </c>
      <c r="F58">
        <f t="shared" si="1"/>
        <v>3.2363497244406454</v>
      </c>
      <c r="G58">
        <f t="shared" si="2"/>
        <v>2.7675997244406454</v>
      </c>
      <c r="H58">
        <v>6</v>
      </c>
    </row>
    <row r="59" spans="2:8">
      <c r="B59">
        <f>VLOOKUP(C59,wirelookup[],5,0)</f>
        <v>3.75</v>
      </c>
      <c r="C59">
        <v>0.46875</v>
      </c>
      <c r="D59">
        <f>VLOOKUP(C59,wirelookup[],2,0)/100</f>
        <v>4458.07</v>
      </c>
      <c r="E59">
        <f t="shared" si="0"/>
        <v>432.4716965483799</v>
      </c>
      <c r="F59">
        <f t="shared" si="1"/>
        <v>3.2289855420601667</v>
      </c>
      <c r="G59">
        <f t="shared" si="2"/>
        <v>2.7602355420601667</v>
      </c>
      <c r="H59">
        <v>7</v>
      </c>
    </row>
    <row r="60" spans="2:8">
      <c r="B60">
        <f>VLOOKUP(C60,wirelookup[],5,0)</f>
        <v>3.75</v>
      </c>
      <c r="C60">
        <v>0.46875</v>
      </c>
      <c r="D60">
        <f>VLOOKUP(C60,wirelookup[],2,0)/100</f>
        <v>4458.07</v>
      </c>
      <c r="E60">
        <f t="shared" si="0"/>
        <v>432.4716965483799</v>
      </c>
      <c r="F60">
        <f t="shared" si="1"/>
        <v>3.2216547973894807</v>
      </c>
      <c r="G60">
        <f t="shared" si="2"/>
        <v>2.7529047973894807</v>
      </c>
      <c r="H60">
        <v>8</v>
      </c>
    </row>
    <row r="61" spans="2:8">
      <c r="B61">
        <f>VLOOKUP(C61,wirelookup[],5,0)</f>
        <v>3.75</v>
      </c>
      <c r="C61">
        <v>0.46875</v>
      </c>
      <c r="D61">
        <f>VLOOKUP(C61,wirelookup[],2,0)/100</f>
        <v>4458.07</v>
      </c>
      <c r="E61">
        <f t="shared" si="0"/>
        <v>432.4716965483799</v>
      </c>
      <c r="F61">
        <f t="shared" si="1"/>
        <v>3.2143572632042141</v>
      </c>
      <c r="G61">
        <f t="shared" si="2"/>
        <v>2.7456072632042141</v>
      </c>
      <c r="H61">
        <v>9</v>
      </c>
    </row>
    <row r="62" spans="2:8">
      <c r="B62">
        <f>VLOOKUP(C62,wirelookup[],5,0)</f>
        <v>3.75</v>
      </c>
      <c r="C62">
        <v>0.46875</v>
      </c>
      <c r="D62">
        <f>VLOOKUP(C62,wirelookup[],2,0)/100</f>
        <v>4458.07</v>
      </c>
      <c r="E62">
        <f t="shared" si="0"/>
        <v>432.4716965483799</v>
      </c>
      <c r="F62">
        <f t="shared" si="1"/>
        <v>3.2070927143341308</v>
      </c>
      <c r="G62">
        <f t="shared" si="2"/>
        <v>2.7383427143341308</v>
      </c>
      <c r="H62">
        <v>10</v>
      </c>
    </row>
    <row r="63" spans="2:8">
      <c r="B63">
        <f>VLOOKUP(C63,wirelookup[],5,0)</f>
        <v>3.75</v>
      </c>
      <c r="C63">
        <v>0.46875</v>
      </c>
      <c r="D63">
        <f>VLOOKUP(C63,wirelookup[],2,0)/100</f>
        <v>4458.07</v>
      </c>
      <c r="E63">
        <f t="shared" si="0"/>
        <v>432.4716965483799</v>
      </c>
      <c r="F63">
        <f t="shared" si="1"/>
        <v>3.1998609276399734</v>
      </c>
      <c r="G63">
        <f t="shared" si="2"/>
        <v>2.7311109276399734</v>
      </c>
      <c r="H63">
        <v>11</v>
      </c>
    </row>
    <row r="64" spans="2:8">
      <c r="B64">
        <f>VLOOKUP(C64,wirelookup[],5,0)</f>
        <v>3.75</v>
      </c>
      <c r="C64">
        <v>0.46875</v>
      </c>
      <c r="D64">
        <f>VLOOKUP(C64,wirelookup[],2,0)/100</f>
        <v>4458.07</v>
      </c>
      <c r="E64">
        <f t="shared" si="0"/>
        <v>432.4716965483799</v>
      </c>
      <c r="F64">
        <f t="shared" si="1"/>
        <v>3.1926616819906122</v>
      </c>
      <c r="G64">
        <f t="shared" si="2"/>
        <v>2.7239116819906122</v>
      </c>
      <c r="H64">
        <v>12</v>
      </c>
    </row>
    <row r="65" spans="2:8">
      <c r="B65">
        <f>VLOOKUP(C65,wirelookup[],5,0)</f>
        <v>3.75</v>
      </c>
      <c r="C65">
        <v>0.46875</v>
      </c>
      <c r="D65">
        <f>VLOOKUP(C65,wirelookup[],2,0)/100</f>
        <v>4458.07</v>
      </c>
      <c r="E65">
        <f t="shared" si="0"/>
        <v>432.4716965483799</v>
      </c>
      <c r="F65">
        <f t="shared" si="1"/>
        <v>3.1854947582405111</v>
      </c>
      <c r="G65">
        <f t="shared" si="2"/>
        <v>2.7167447582405111</v>
      </c>
      <c r="H65">
        <v>13</v>
      </c>
    </row>
    <row r="66" spans="2:8">
      <c r="B66">
        <f>VLOOKUP(C66,wirelookup[],5,0)</f>
        <v>3.75</v>
      </c>
      <c r="C66">
        <v>0.46875</v>
      </c>
      <c r="D66">
        <f>VLOOKUP(C66,wirelookup[],2,0)/100</f>
        <v>4458.07</v>
      </c>
      <c r="E66">
        <f t="shared" si="0"/>
        <v>432.4716965483799</v>
      </c>
      <c r="F66">
        <f t="shared" si="1"/>
        <v>3.1783599392074855</v>
      </c>
      <c r="G66">
        <f t="shared" si="2"/>
        <v>2.7096099392074855</v>
      </c>
      <c r="H66">
        <v>14</v>
      </c>
    </row>
    <row r="67" spans="2:8">
      <c r="B67">
        <f>VLOOKUP(C67,wirelookup[],5,0)</f>
        <v>3.75</v>
      </c>
      <c r="C67">
        <v>0.46875</v>
      </c>
      <c r="D67">
        <f>VLOOKUP(C67,wirelookup[],2,0)/100</f>
        <v>4458.07</v>
      </c>
      <c r="E67">
        <f t="shared" si="0"/>
        <v>432.4716965483799</v>
      </c>
      <c r="F67">
        <f t="shared" si="1"/>
        <v>3.1712570096507693</v>
      </c>
      <c r="G67">
        <f t="shared" si="2"/>
        <v>2.7025070096507693</v>
      </c>
      <c r="H67">
        <v>15</v>
      </c>
    </row>
    <row r="68" spans="2:8">
      <c r="B68">
        <f>VLOOKUP(C68,wirelookup[],5,0)</f>
        <v>3.75</v>
      </c>
      <c r="C68">
        <v>0.46875</v>
      </c>
      <c r="D68">
        <f>VLOOKUP(C68,wirelookup[],2,0)/100</f>
        <v>4458.07</v>
      </c>
      <c r="E68">
        <f t="shared" si="0"/>
        <v>432.4716965483799</v>
      </c>
      <c r="F68">
        <f t="shared" si="1"/>
        <v>3.164185756249366</v>
      </c>
      <c r="G68">
        <f t="shared" si="2"/>
        <v>2.695435756249366</v>
      </c>
      <c r="H68">
        <v>16</v>
      </c>
    </row>
    <row r="69" spans="2:8">
      <c r="B69">
        <f>VLOOKUP(C69,wirelookup[],5,0)</f>
        <v>3.75</v>
      </c>
      <c r="C69">
        <v>0.46875</v>
      </c>
      <c r="D69">
        <f>VLOOKUP(C69,wirelookup[],2,0)/100</f>
        <v>4458.07</v>
      </c>
      <c r="E69">
        <f t="shared" ref="E69:E132" si="4">D69/((B69-C69)*PI())</f>
        <v>432.4716965483799</v>
      </c>
      <c r="F69">
        <f t="shared" ref="F69:F132" si="5">D69/((E69+H69)*PI())</f>
        <v>3.1571459675806954</v>
      </c>
      <c r="G69">
        <f t="shared" ref="G69:G132" si="6">F69-C69</f>
        <v>2.6883959675806954</v>
      </c>
      <c r="H69">
        <v>17</v>
      </c>
    </row>
    <row r="70" spans="2:8">
      <c r="B70">
        <f>VLOOKUP(C70,wirelookup[],5,0)</f>
        <v>3.75</v>
      </c>
      <c r="C70">
        <v>0.46875</v>
      </c>
      <c r="D70">
        <f>VLOOKUP(C70,wirelookup[],2,0)/100</f>
        <v>4458.07</v>
      </c>
      <c r="E70">
        <f t="shared" si="4"/>
        <v>432.4716965483799</v>
      </c>
      <c r="F70">
        <f t="shared" si="5"/>
        <v>3.1501374340995212</v>
      </c>
      <c r="G70">
        <f t="shared" si="6"/>
        <v>2.6813874340995212</v>
      </c>
      <c r="H70">
        <v>18</v>
      </c>
    </row>
    <row r="71" spans="2:8">
      <c r="B71">
        <f>VLOOKUP(C71,wirelookup[],5,0)</f>
        <v>3.75</v>
      </c>
      <c r="C71">
        <v>0.46875</v>
      </c>
      <c r="D71">
        <f>VLOOKUP(C71,wirelookup[],2,0)/100</f>
        <v>4458.07</v>
      </c>
      <c r="E71">
        <f t="shared" si="4"/>
        <v>432.4716965483799</v>
      </c>
      <c r="F71">
        <f t="shared" si="5"/>
        <v>3.1431599481171593</v>
      </c>
      <c r="G71">
        <f t="shared" si="6"/>
        <v>2.6744099481171593</v>
      </c>
      <c r="H71">
        <v>19</v>
      </c>
    </row>
    <row r="72" spans="2:8">
      <c r="B72">
        <f>VLOOKUP(C72,wirelookup[],5,0)</f>
        <v>5.625</v>
      </c>
      <c r="C72">
        <v>0.5</v>
      </c>
      <c r="D72">
        <f>VLOOKUP(C72,wirelookup[],2,0)/100</f>
        <v>5775</v>
      </c>
      <c r="E72">
        <f t="shared" si="4"/>
        <v>358.68089613880807</v>
      </c>
      <c r="F72">
        <f t="shared" si="5"/>
        <v>5.1107512588101924</v>
      </c>
      <c r="G72">
        <f t="shared" si="6"/>
        <v>4.6107512588101924</v>
      </c>
      <c r="H72">
        <v>1</v>
      </c>
    </row>
    <row r="73" spans="2:8">
      <c r="B73">
        <f>VLOOKUP(C73,wirelookup[],5,0)</f>
        <v>5.625</v>
      </c>
      <c r="C73">
        <v>0.5</v>
      </c>
      <c r="D73">
        <f>VLOOKUP(C73,wirelookup[],2,0)/100</f>
        <v>5775</v>
      </c>
      <c r="E73">
        <f t="shared" si="4"/>
        <v>358.68089613880807</v>
      </c>
      <c r="F73">
        <f t="shared" si="5"/>
        <v>5.0965815278554274</v>
      </c>
      <c r="G73">
        <f t="shared" si="6"/>
        <v>4.5965815278554274</v>
      </c>
      <c r="H73">
        <v>2</v>
      </c>
    </row>
    <row r="74" spans="2:8">
      <c r="B74">
        <f>VLOOKUP(C74,wirelookup[],5,0)</f>
        <v>5.625</v>
      </c>
      <c r="C74">
        <v>0.5</v>
      </c>
      <c r="D74">
        <f>VLOOKUP(C74,wirelookup[],2,0)/100</f>
        <v>5775</v>
      </c>
      <c r="E74">
        <f t="shared" si="4"/>
        <v>358.68089613880807</v>
      </c>
      <c r="F74">
        <f t="shared" si="5"/>
        <v>5.0824901517770531</v>
      </c>
      <c r="G74">
        <f t="shared" si="6"/>
        <v>4.5824901517770531</v>
      </c>
      <c r="H74">
        <v>3</v>
      </c>
    </row>
    <row r="75" spans="2:8">
      <c r="B75">
        <f>VLOOKUP(C75,wirelookup[],5,0)</f>
        <v>5.625</v>
      </c>
      <c r="C75">
        <v>0.5</v>
      </c>
      <c r="D75">
        <f>VLOOKUP(C75,wirelookup[],2,0)/100</f>
        <v>5775</v>
      </c>
      <c r="E75">
        <f t="shared" si="4"/>
        <v>358.68089613880807</v>
      </c>
      <c r="F75">
        <f t="shared" si="5"/>
        <v>5.0684764824443516</v>
      </c>
      <c r="G75">
        <f t="shared" si="6"/>
        <v>4.5684764824443516</v>
      </c>
      <c r="H75">
        <v>4</v>
      </c>
    </row>
    <row r="76" spans="2:8">
      <c r="B76">
        <f>VLOOKUP(C76,wirelookup[],5,0)</f>
        <v>5.625</v>
      </c>
      <c r="C76">
        <v>0.5</v>
      </c>
      <c r="D76">
        <f>VLOOKUP(C76,wirelookup[],2,0)/100</f>
        <v>5775</v>
      </c>
      <c r="E76">
        <f t="shared" si="4"/>
        <v>358.68089613880807</v>
      </c>
      <c r="F76">
        <f t="shared" si="5"/>
        <v>5.0545398788551719</v>
      </c>
      <c r="G76">
        <f t="shared" si="6"/>
        <v>4.5545398788551719</v>
      </c>
      <c r="H76">
        <v>5</v>
      </c>
    </row>
    <row r="77" spans="2:8">
      <c r="B77">
        <f>VLOOKUP(C77,wirelookup[],5,0)</f>
        <v>5.625</v>
      </c>
      <c r="C77">
        <v>0.5</v>
      </c>
      <c r="D77">
        <f>VLOOKUP(C77,wirelookup[],2,0)/100</f>
        <v>5775</v>
      </c>
      <c r="E77">
        <f t="shared" si="4"/>
        <v>358.68089613880807</v>
      </c>
      <c r="F77">
        <f t="shared" si="5"/>
        <v>5.0406797070381888</v>
      </c>
      <c r="G77">
        <f t="shared" si="6"/>
        <v>4.5406797070381888</v>
      </c>
      <c r="H77">
        <v>6</v>
      </c>
    </row>
    <row r="78" spans="2:8">
      <c r="B78">
        <f>VLOOKUP(C78,wirelookup[],5,0)</f>
        <v>5.625</v>
      </c>
      <c r="C78">
        <v>0.5</v>
      </c>
      <c r="D78">
        <f>VLOOKUP(C78,wirelookup[],2,0)/100</f>
        <v>5775</v>
      </c>
      <c r="E78">
        <f t="shared" si="4"/>
        <v>358.68089613880807</v>
      </c>
      <c r="F78">
        <f t="shared" si="5"/>
        <v>5.0268953399567735</v>
      </c>
      <c r="G78">
        <f t="shared" si="6"/>
        <v>4.5268953399567735</v>
      </c>
      <c r="H78">
        <v>7</v>
      </c>
    </row>
    <row r="79" spans="2:8">
      <c r="B79">
        <f>VLOOKUP(C79,wirelookup[],5,0)</f>
        <v>5.625</v>
      </c>
      <c r="C79">
        <v>0.5</v>
      </c>
      <c r="D79">
        <f>VLOOKUP(C79,wirelookup[],2,0)/100</f>
        <v>5775</v>
      </c>
      <c r="E79">
        <f t="shared" si="4"/>
        <v>358.68089613880807</v>
      </c>
      <c r="F79">
        <f t="shared" si="5"/>
        <v>5.013186157414431</v>
      </c>
      <c r="G79">
        <f t="shared" si="6"/>
        <v>4.513186157414431</v>
      </c>
      <c r="H79">
        <v>8</v>
      </c>
    </row>
    <row r="80" spans="2:8">
      <c r="B80">
        <f>VLOOKUP(C80,wirelookup[],5,0)</f>
        <v>5.625</v>
      </c>
      <c r="C80">
        <v>0.5</v>
      </c>
      <c r="D80">
        <f>VLOOKUP(C80,wirelookup[],2,0)/100</f>
        <v>5775</v>
      </c>
      <c r="E80">
        <f t="shared" si="4"/>
        <v>358.68089613880807</v>
      </c>
      <c r="F80">
        <f t="shared" si="5"/>
        <v>4.9995515459617819</v>
      </c>
      <c r="G80">
        <f t="shared" si="6"/>
        <v>4.4995515459617819</v>
      </c>
      <c r="H80">
        <v>9</v>
      </c>
    </row>
    <row r="81" spans="2:8">
      <c r="B81">
        <f>VLOOKUP(C81,wirelookup[],5,0)</f>
        <v>5.625</v>
      </c>
      <c r="C81">
        <v>0.5</v>
      </c>
      <c r="D81">
        <f>VLOOKUP(C81,wirelookup[],2,0)/100</f>
        <v>5775</v>
      </c>
      <c r="E81">
        <f t="shared" si="4"/>
        <v>358.68089613880807</v>
      </c>
      <c r="F81">
        <f t="shared" si="5"/>
        <v>4.9859908988050616</v>
      </c>
      <c r="G81">
        <f t="shared" si="6"/>
        <v>4.4859908988050616</v>
      </c>
      <c r="H81">
        <v>10</v>
      </c>
    </row>
    <row r="82" spans="2:8">
      <c r="B82">
        <f>VLOOKUP(C82,wirelookup[],5,0)</f>
        <v>5.625</v>
      </c>
      <c r="C82">
        <v>0.5</v>
      </c>
      <c r="D82">
        <f>VLOOKUP(C82,wirelookup[],2,0)/100</f>
        <v>5775</v>
      </c>
      <c r="E82">
        <f t="shared" si="4"/>
        <v>358.68089613880807</v>
      </c>
      <c r="F82">
        <f t="shared" si="5"/>
        <v>4.9725036157161</v>
      </c>
      <c r="G82">
        <f t="shared" si="6"/>
        <v>4.4725036157161</v>
      </c>
      <c r="H82">
        <v>11</v>
      </c>
    </row>
    <row r="83" spans="2:8">
      <c r="B83">
        <f>VLOOKUP(C83,wirelookup[],5,0)</f>
        <v>5.625</v>
      </c>
      <c r="C83">
        <v>0.5</v>
      </c>
      <c r="D83">
        <f>VLOOKUP(C83,wirelookup[],2,0)/100</f>
        <v>5775</v>
      </c>
      <c r="E83">
        <f t="shared" si="4"/>
        <v>358.68089613880807</v>
      </c>
      <c r="F83">
        <f t="shared" si="5"/>
        <v>4.9590891029437616</v>
      </c>
      <c r="G83">
        <f t="shared" si="6"/>
        <v>4.4590891029437616</v>
      </c>
      <c r="H83">
        <v>12</v>
      </c>
    </row>
    <row r="84" spans="2:8">
      <c r="B84">
        <f>VLOOKUP(C84,wirelookup[],5,0)</f>
        <v>5.625</v>
      </c>
      <c r="C84">
        <v>0.5</v>
      </c>
      <c r="D84">
        <f>VLOOKUP(C84,wirelookup[],2,0)/100</f>
        <v>5775</v>
      </c>
      <c r="E84">
        <f t="shared" si="4"/>
        <v>358.68089613880807</v>
      </c>
      <c r="F84">
        <f t="shared" si="5"/>
        <v>4.9457467731268103</v>
      </c>
      <c r="G84">
        <f t="shared" si="6"/>
        <v>4.4457467731268103</v>
      </c>
      <c r="H84">
        <v>13</v>
      </c>
    </row>
    <row r="85" spans="2:8">
      <c r="B85">
        <f>VLOOKUP(C85,wirelookup[],5,0)</f>
        <v>5.625</v>
      </c>
      <c r="C85">
        <v>0.5</v>
      </c>
      <c r="D85">
        <f>VLOOKUP(C85,wirelookup[],2,0)/100</f>
        <v>5775</v>
      </c>
      <c r="E85">
        <f t="shared" si="4"/>
        <v>358.68089613880807</v>
      </c>
      <c r="F85">
        <f t="shared" si="5"/>
        <v>4.9324760452081877</v>
      </c>
      <c r="G85">
        <f t="shared" si="6"/>
        <v>4.4324760452081877</v>
      </c>
      <c r="H85">
        <v>14</v>
      </c>
    </row>
    <row r="86" spans="2:8">
      <c r="B86">
        <f>VLOOKUP(C86,wirelookup[],5,0)</f>
        <v>5.625</v>
      </c>
      <c r="C86">
        <v>0.5</v>
      </c>
      <c r="D86">
        <f>VLOOKUP(C86,wirelookup[],2,0)/100</f>
        <v>5775</v>
      </c>
      <c r="E86">
        <f t="shared" si="4"/>
        <v>358.68089613880807</v>
      </c>
      <c r="F86">
        <f t="shared" si="5"/>
        <v>4.9192763443506511</v>
      </c>
      <c r="G86">
        <f t="shared" si="6"/>
        <v>4.4192763443506511</v>
      </c>
      <c r="H86">
        <v>15</v>
      </c>
    </row>
    <row r="87" spans="2:8">
      <c r="B87">
        <f>VLOOKUP(C87,wirelookup[],5,0)</f>
        <v>5.625</v>
      </c>
      <c r="C87">
        <v>0.5</v>
      </c>
      <c r="D87">
        <f>VLOOKUP(C87,wirelookup[],2,0)/100</f>
        <v>5775</v>
      </c>
      <c r="E87">
        <f t="shared" si="4"/>
        <v>358.68089613880807</v>
      </c>
      <c r="F87">
        <f t="shared" si="5"/>
        <v>4.906147101853783</v>
      </c>
      <c r="G87">
        <f t="shared" si="6"/>
        <v>4.406147101853783</v>
      </c>
      <c r="H87">
        <v>16</v>
      </c>
    </row>
    <row r="88" spans="2:8">
      <c r="B88">
        <f>VLOOKUP(C88,wirelookup[],5,0)</f>
        <v>5.625</v>
      </c>
      <c r="C88">
        <v>0.5</v>
      </c>
      <c r="D88">
        <f>VLOOKUP(C88,wirelookup[],2,0)/100</f>
        <v>5775</v>
      </c>
      <c r="E88">
        <f t="shared" si="4"/>
        <v>358.68089613880807</v>
      </c>
      <c r="F88">
        <f t="shared" si="5"/>
        <v>4.8930877550723029</v>
      </c>
      <c r="G88">
        <f t="shared" si="6"/>
        <v>4.3930877550723029</v>
      </c>
      <c r="H88">
        <v>17</v>
      </c>
    </row>
    <row r="89" spans="2:8">
      <c r="B89">
        <f>VLOOKUP(C89,wirelookup[],5,0)</f>
        <v>5.625</v>
      </c>
      <c r="C89">
        <v>0.5</v>
      </c>
      <c r="D89">
        <f>VLOOKUP(C89,wirelookup[],2,0)/100</f>
        <v>5775</v>
      </c>
      <c r="E89">
        <f t="shared" si="4"/>
        <v>358.68089613880807</v>
      </c>
      <c r="F89">
        <f t="shared" si="5"/>
        <v>4.8800977473357028</v>
      </c>
      <c r="G89">
        <f t="shared" si="6"/>
        <v>4.3800977473357028</v>
      </c>
      <c r="H89">
        <v>18</v>
      </c>
    </row>
    <row r="90" spans="2:8">
      <c r="B90">
        <f>VLOOKUP(C90,wirelookup[],5,0)</f>
        <v>5.625</v>
      </c>
      <c r="C90">
        <v>0.5</v>
      </c>
      <c r="D90">
        <f>VLOOKUP(C90,wirelookup[],2,0)/100</f>
        <v>5775</v>
      </c>
      <c r="E90">
        <f t="shared" si="4"/>
        <v>358.68089613880807</v>
      </c>
      <c r="F90">
        <f t="shared" si="5"/>
        <v>4.8671765278691455</v>
      </c>
      <c r="G90">
        <f t="shared" si="6"/>
        <v>4.3671765278691455</v>
      </c>
      <c r="H90">
        <v>19</v>
      </c>
    </row>
    <row r="91" spans="2:8">
      <c r="B91">
        <f>VLOOKUP(C91,wirelookup[],5,0)</f>
        <v>5.625</v>
      </c>
      <c r="C91">
        <v>0.5</v>
      </c>
      <c r="D91">
        <f>VLOOKUP(C91,wirelookup[],2,0)/100</f>
        <v>5775</v>
      </c>
      <c r="E91">
        <f t="shared" si="4"/>
        <v>358.68089613880807</v>
      </c>
      <c r="F91">
        <f t="shared" si="5"/>
        <v>4.8543235517156162</v>
      </c>
      <c r="G91">
        <f t="shared" si="6"/>
        <v>4.3543235517156162</v>
      </c>
      <c r="H91">
        <v>20</v>
      </c>
    </row>
    <row r="92" spans="2:8">
      <c r="B92">
        <f>VLOOKUP(C92,wirelookup[],5,0)</f>
        <v>5.625</v>
      </c>
      <c r="C92">
        <v>0.5</v>
      </c>
      <c r="D92">
        <f>VLOOKUP(C92,wirelookup[],2,0)/100</f>
        <v>5775</v>
      </c>
      <c r="E92">
        <f t="shared" si="4"/>
        <v>358.68089613880807</v>
      </c>
      <c r="F92">
        <f t="shared" si="5"/>
        <v>4.8415382796593134</v>
      </c>
      <c r="G92">
        <f t="shared" si="6"/>
        <v>4.3415382796593134</v>
      </c>
      <c r="H92">
        <v>21</v>
      </c>
    </row>
    <row r="93" spans="2:8">
      <c r="B93">
        <f>VLOOKUP(C93,wirelookup[],5,0)</f>
        <v>5.625</v>
      </c>
      <c r="C93">
        <v>0.5</v>
      </c>
      <c r="D93">
        <f>VLOOKUP(C93,wirelookup[],2,0)/100</f>
        <v>5775</v>
      </c>
      <c r="E93">
        <f t="shared" si="4"/>
        <v>358.68089613880807</v>
      </c>
      <c r="F93">
        <f t="shared" si="5"/>
        <v>4.8288201781502371</v>
      </c>
      <c r="G93">
        <f t="shared" si="6"/>
        <v>4.3288201781502371</v>
      </c>
      <c r="H93">
        <v>22</v>
      </c>
    </row>
    <row r="94" spans="2:8">
      <c r="B94">
        <f>VLOOKUP(C94,wirelookup[],5,0)</f>
        <v>5.625</v>
      </c>
      <c r="C94">
        <v>0.5</v>
      </c>
      <c r="D94">
        <f>VLOOKUP(C94,wirelookup[],2,0)/100</f>
        <v>5775</v>
      </c>
      <c r="E94">
        <f t="shared" si="4"/>
        <v>358.68089613880807</v>
      </c>
      <c r="F94">
        <f t="shared" si="5"/>
        <v>4.8161687192299718</v>
      </c>
      <c r="G94">
        <f t="shared" si="6"/>
        <v>4.3161687192299718</v>
      </c>
      <c r="H94">
        <v>23</v>
      </c>
    </row>
    <row r="95" spans="2:8">
      <c r="B95">
        <f>VLOOKUP(C95,wirelookup[],5,0)</f>
        <v>5.625</v>
      </c>
      <c r="C95">
        <v>0.5625</v>
      </c>
      <c r="D95">
        <f>VLOOKUP(C95,wirelookup[],2,0)/100</f>
        <v>9250.44</v>
      </c>
      <c r="E95">
        <f t="shared" si="4"/>
        <v>581.63091428147857</v>
      </c>
      <c r="F95">
        <f t="shared" si="5"/>
        <v>5.0538109656973083</v>
      </c>
      <c r="G95">
        <f t="shared" si="6"/>
        <v>4.4913109656973083</v>
      </c>
      <c r="H95">
        <v>1</v>
      </c>
    </row>
    <row r="96" spans="2:8">
      <c r="B96">
        <f>VLOOKUP(C96,wirelookup[],5,0)</f>
        <v>5.625</v>
      </c>
      <c r="C96">
        <v>0.5625</v>
      </c>
      <c r="D96">
        <f>VLOOKUP(C96,wirelookup[],2,0)/100</f>
        <v>9250.44</v>
      </c>
      <c r="E96">
        <f t="shared" si="4"/>
        <v>581.63091428147857</v>
      </c>
      <c r="F96">
        <f t="shared" si="5"/>
        <v>5.0451517071795875</v>
      </c>
      <c r="G96">
        <f t="shared" si="6"/>
        <v>4.4826517071795875</v>
      </c>
      <c r="H96">
        <v>2</v>
      </c>
    </row>
    <row r="97" spans="2:8">
      <c r="B97">
        <f>VLOOKUP(C97,wirelookup[],5,0)</f>
        <v>5.625</v>
      </c>
      <c r="C97">
        <v>0.5625</v>
      </c>
      <c r="D97">
        <f>VLOOKUP(C97,wirelookup[],2,0)/100</f>
        <v>9250.44</v>
      </c>
      <c r="E97">
        <f t="shared" si="4"/>
        <v>581.63091428147857</v>
      </c>
      <c r="F97">
        <f t="shared" si="5"/>
        <v>5.0365220716541028</v>
      </c>
      <c r="G97">
        <f t="shared" si="6"/>
        <v>4.4740220716541028</v>
      </c>
      <c r="H97">
        <v>3</v>
      </c>
    </row>
    <row r="98" spans="2:8">
      <c r="B98">
        <f>VLOOKUP(C98,wirelookup[],5,0)</f>
        <v>5.625</v>
      </c>
      <c r="C98">
        <v>0.5625</v>
      </c>
      <c r="D98">
        <f>VLOOKUP(C98,wirelookup[],2,0)/100</f>
        <v>9250.44</v>
      </c>
      <c r="E98">
        <f t="shared" si="4"/>
        <v>581.63091428147857</v>
      </c>
      <c r="F98">
        <f t="shared" si="5"/>
        <v>5.0279219073717352</v>
      </c>
      <c r="G98">
        <f t="shared" si="6"/>
        <v>4.4654219073717352</v>
      </c>
      <c r="H98">
        <v>4</v>
      </c>
    </row>
    <row r="99" spans="2:8">
      <c r="B99">
        <f>VLOOKUP(C99,wirelookup[],5,0)</f>
        <v>5.625</v>
      </c>
      <c r="C99">
        <v>0.5625</v>
      </c>
      <c r="D99">
        <f>VLOOKUP(C99,wirelookup[],2,0)/100</f>
        <v>9250.44</v>
      </c>
      <c r="E99">
        <f t="shared" si="4"/>
        <v>581.63091428147857</v>
      </c>
      <c r="F99">
        <f t="shared" si="5"/>
        <v>5.0193510636180774</v>
      </c>
      <c r="G99">
        <f t="shared" si="6"/>
        <v>4.4568510636180774</v>
      </c>
      <c r="H99">
        <v>5</v>
      </c>
    </row>
    <row r="100" spans="2:8">
      <c r="B100">
        <f>VLOOKUP(C100,wirelookup[],5,0)</f>
        <v>5.625</v>
      </c>
      <c r="C100">
        <v>0.5625</v>
      </c>
      <c r="D100">
        <f>VLOOKUP(C100,wirelookup[],2,0)/100</f>
        <v>9250.44</v>
      </c>
      <c r="E100">
        <f t="shared" si="4"/>
        <v>581.63091428147857</v>
      </c>
      <c r="F100">
        <f t="shared" si="5"/>
        <v>5.0108093907046376</v>
      </c>
      <c r="G100">
        <f t="shared" si="6"/>
        <v>4.4483093907046376</v>
      </c>
      <c r="H100">
        <v>6</v>
      </c>
    </row>
    <row r="101" spans="2:8">
      <c r="B101">
        <f>VLOOKUP(C101,wirelookup[],5,0)</f>
        <v>5.625</v>
      </c>
      <c r="C101">
        <v>0.5625</v>
      </c>
      <c r="D101">
        <f>VLOOKUP(C101,wirelookup[],2,0)/100</f>
        <v>9250.44</v>
      </c>
      <c r="E101">
        <f t="shared" si="4"/>
        <v>581.63091428147857</v>
      </c>
      <c r="F101">
        <f t="shared" si="5"/>
        <v>5.0022967399601193</v>
      </c>
      <c r="G101">
        <f t="shared" si="6"/>
        <v>4.4397967399601193</v>
      </c>
      <c r="H101">
        <v>7</v>
      </c>
    </row>
    <row r="102" spans="2:8">
      <c r="B102">
        <f>VLOOKUP(C102,wirelookup[],5,0)</f>
        <v>5.625</v>
      </c>
      <c r="C102">
        <v>0.5625</v>
      </c>
      <c r="D102">
        <f>VLOOKUP(C102,wirelookup[],2,0)/100</f>
        <v>9250.44</v>
      </c>
      <c r="E102">
        <f t="shared" si="4"/>
        <v>581.63091428147857</v>
      </c>
      <c r="F102">
        <f t="shared" si="5"/>
        <v>4.9938129637217994</v>
      </c>
      <c r="G102">
        <f t="shared" si="6"/>
        <v>4.4313129637217994</v>
      </c>
      <c r="H102">
        <v>8</v>
      </c>
    </row>
    <row r="103" spans="2:8">
      <c r="B103">
        <f>VLOOKUP(C103,wirelookup[],5,0)</f>
        <v>5.625</v>
      </c>
      <c r="C103">
        <v>0.5625</v>
      </c>
      <c r="D103">
        <f>VLOOKUP(C103,wirelookup[],2,0)/100</f>
        <v>9250.44</v>
      </c>
      <c r="E103">
        <f t="shared" si="4"/>
        <v>581.63091428147857</v>
      </c>
      <c r="F103">
        <f t="shared" si="5"/>
        <v>4.985357915326988</v>
      </c>
      <c r="G103">
        <f t="shared" si="6"/>
        <v>4.422857915326988</v>
      </c>
      <c r="H103">
        <v>9</v>
      </c>
    </row>
    <row r="104" spans="2:8">
      <c r="B104">
        <f>VLOOKUP(C104,wirelookup[],5,0)</f>
        <v>5.625</v>
      </c>
      <c r="C104">
        <v>0.5625</v>
      </c>
      <c r="D104">
        <f>VLOOKUP(C104,wirelookup[],2,0)/100</f>
        <v>9250.44</v>
      </c>
      <c r="E104">
        <f t="shared" si="4"/>
        <v>581.63091428147857</v>
      </c>
      <c r="F104">
        <f t="shared" si="5"/>
        <v>4.9769314491045771</v>
      </c>
      <c r="G104">
        <f t="shared" si="6"/>
        <v>4.4144314491045771</v>
      </c>
      <c r="H104">
        <v>10</v>
      </c>
    </row>
    <row r="105" spans="2:8">
      <c r="B105">
        <f>VLOOKUP(C105,wirelookup[],5,0)</f>
        <v>5.625</v>
      </c>
      <c r="C105">
        <v>0.5625</v>
      </c>
      <c r="D105">
        <f>VLOOKUP(C105,wirelookup[],2,0)/100</f>
        <v>9250.44</v>
      </c>
      <c r="E105">
        <f t="shared" si="4"/>
        <v>581.63091428147857</v>
      </c>
      <c r="F105">
        <f t="shared" si="5"/>
        <v>4.9685334203666756</v>
      </c>
      <c r="G105">
        <f t="shared" si="6"/>
        <v>4.4060334203666756</v>
      </c>
      <c r="H105">
        <v>11</v>
      </c>
    </row>
    <row r="106" spans="2:8">
      <c r="B106">
        <f>VLOOKUP(C106,wirelookup[],5,0)</f>
        <v>5.625</v>
      </c>
      <c r="C106">
        <v>0.5625</v>
      </c>
      <c r="D106">
        <f>VLOOKUP(C106,wirelookup[],2,0)/100</f>
        <v>9250.44</v>
      </c>
      <c r="E106">
        <f t="shared" si="4"/>
        <v>581.63091428147857</v>
      </c>
      <c r="F106">
        <f t="shared" si="5"/>
        <v>4.9601636854003273</v>
      </c>
      <c r="G106">
        <f t="shared" si="6"/>
        <v>4.3976636854003273</v>
      </c>
      <c r="H106">
        <v>12</v>
      </c>
    </row>
    <row r="107" spans="2:8">
      <c r="B107">
        <f>VLOOKUP(C107,wirelookup[],5,0)</f>
        <v>5.625</v>
      </c>
      <c r="C107">
        <v>0.5625</v>
      </c>
      <c r="D107">
        <f>VLOOKUP(C107,wirelookup[],2,0)/100</f>
        <v>9250.44</v>
      </c>
      <c r="E107">
        <f t="shared" si="4"/>
        <v>581.63091428147857</v>
      </c>
      <c r="F107">
        <f t="shared" si="5"/>
        <v>4.9518221014593147</v>
      </c>
      <c r="G107">
        <f t="shared" si="6"/>
        <v>4.3893221014593147</v>
      </c>
      <c r="H107">
        <v>13</v>
      </c>
    </row>
    <row r="108" spans="2:8">
      <c r="B108">
        <f>VLOOKUP(C108,wirelookup[],5,0)</f>
        <v>5.625</v>
      </c>
      <c r="C108">
        <v>0.5625</v>
      </c>
      <c r="D108">
        <f>VLOOKUP(C108,wirelookup[],2,0)/100</f>
        <v>9250.44</v>
      </c>
      <c r="E108">
        <f t="shared" si="4"/>
        <v>581.63091428147857</v>
      </c>
      <c r="F108">
        <f t="shared" si="5"/>
        <v>4.9435085267560392</v>
      </c>
      <c r="G108">
        <f t="shared" si="6"/>
        <v>4.3810085267560392</v>
      </c>
      <c r="H108">
        <v>14</v>
      </c>
    </row>
    <row r="109" spans="2:8">
      <c r="B109">
        <f>VLOOKUP(C109,wirelookup[],5,0)</f>
        <v>5.625</v>
      </c>
      <c r="C109">
        <v>0.5625</v>
      </c>
      <c r="D109">
        <f>VLOOKUP(C109,wirelookup[],2,0)/100</f>
        <v>9250.44</v>
      </c>
      <c r="E109">
        <f t="shared" si="4"/>
        <v>581.63091428147857</v>
      </c>
      <c r="F109">
        <f t="shared" si="5"/>
        <v>4.9352228204534931</v>
      </c>
      <c r="G109">
        <f t="shared" si="6"/>
        <v>4.3727228204534931</v>
      </c>
      <c r="H109">
        <v>15</v>
      </c>
    </row>
    <row r="110" spans="2:8">
      <c r="B110">
        <f>VLOOKUP(C110,wirelookup[],5,0)</f>
        <v>5.625</v>
      </c>
      <c r="C110">
        <v>0.5625</v>
      </c>
      <c r="D110">
        <f>VLOOKUP(C110,wirelookup[],2,0)/100</f>
        <v>9250.44</v>
      </c>
      <c r="E110">
        <f t="shared" si="4"/>
        <v>581.63091428147857</v>
      </c>
      <c r="F110">
        <f t="shared" si="5"/>
        <v>4.9269648426573021</v>
      </c>
      <c r="G110">
        <f t="shared" si="6"/>
        <v>4.3644648426573021</v>
      </c>
      <c r="H110">
        <v>16</v>
      </c>
    </row>
    <row r="111" spans="2:8">
      <c r="B111">
        <f>VLOOKUP(C111,wirelookup[],5,0)</f>
        <v>5.625</v>
      </c>
      <c r="C111">
        <v>0.5625</v>
      </c>
      <c r="D111">
        <f>VLOOKUP(C111,wirelookup[],2,0)/100</f>
        <v>9250.44</v>
      </c>
      <c r="E111">
        <f t="shared" si="4"/>
        <v>581.63091428147857</v>
      </c>
      <c r="F111">
        <f t="shared" si="5"/>
        <v>4.9187344544078568</v>
      </c>
      <c r="G111">
        <f t="shared" si="6"/>
        <v>4.3562344544078568</v>
      </c>
      <c r="H111">
        <v>17</v>
      </c>
    </row>
    <row r="112" spans="2:8">
      <c r="B112">
        <f>VLOOKUP(C112,wirelookup[],5,0)</f>
        <v>5.625</v>
      </c>
      <c r="C112">
        <v>0.5625</v>
      </c>
      <c r="D112">
        <f>VLOOKUP(C112,wirelookup[],2,0)/100</f>
        <v>9250.44</v>
      </c>
      <c r="E112">
        <f t="shared" si="4"/>
        <v>581.63091428147857</v>
      </c>
      <c r="F112">
        <f t="shared" si="5"/>
        <v>4.9105315176725117</v>
      </c>
      <c r="G112">
        <f t="shared" si="6"/>
        <v>4.3480315176725117</v>
      </c>
      <c r="H112">
        <v>18</v>
      </c>
    </row>
    <row r="113" spans="2:8">
      <c r="B113">
        <f>VLOOKUP(C113,wirelookup[],5,0)</f>
        <v>5.625</v>
      </c>
      <c r="C113">
        <v>0.5625</v>
      </c>
      <c r="D113">
        <f>VLOOKUP(C113,wirelookup[],2,0)/100</f>
        <v>9250.44</v>
      </c>
      <c r="E113">
        <f t="shared" si="4"/>
        <v>581.63091428147857</v>
      </c>
      <c r="F113">
        <f t="shared" si="5"/>
        <v>4.9023558953378759</v>
      </c>
      <c r="G113">
        <f t="shared" si="6"/>
        <v>4.3398558953378759</v>
      </c>
      <c r="H113">
        <v>19</v>
      </c>
    </row>
    <row r="114" spans="2:8">
      <c r="B114">
        <f>VLOOKUP(C114,wirelookup[],5,0)</f>
        <v>5.625</v>
      </c>
      <c r="C114">
        <v>0.5625</v>
      </c>
      <c r="D114">
        <f>VLOOKUP(C114,wirelookup[],2,0)/100</f>
        <v>9250.44</v>
      </c>
      <c r="E114">
        <f t="shared" si="4"/>
        <v>581.63091428147857</v>
      </c>
      <c r="F114">
        <f t="shared" si="5"/>
        <v>4.8942074512021669</v>
      </c>
      <c r="G114">
        <f t="shared" si="6"/>
        <v>4.3317074512021669</v>
      </c>
      <c r="H114">
        <v>20</v>
      </c>
    </row>
    <row r="115" spans="2:8">
      <c r="B115">
        <f>VLOOKUP(C115,wirelookup[],5,0)</f>
        <v>5.625</v>
      </c>
      <c r="C115">
        <v>0.5625</v>
      </c>
      <c r="D115">
        <f>VLOOKUP(C115,wirelookup[],2,0)/100</f>
        <v>9250.44</v>
      </c>
      <c r="E115">
        <f t="shared" si="4"/>
        <v>581.63091428147857</v>
      </c>
      <c r="F115">
        <f t="shared" si="5"/>
        <v>4.8860860499676528</v>
      </c>
      <c r="G115">
        <f t="shared" si="6"/>
        <v>4.3235860499676528</v>
      </c>
      <c r="H115">
        <v>21</v>
      </c>
    </row>
    <row r="116" spans="2:8">
      <c r="B116">
        <f>VLOOKUP(C116,wirelookup[],5,0)</f>
        <v>5.625</v>
      </c>
      <c r="C116">
        <v>0.5625</v>
      </c>
      <c r="D116">
        <f>VLOOKUP(C116,wirelookup[],2,0)/100</f>
        <v>9250.44</v>
      </c>
      <c r="E116">
        <f t="shared" si="4"/>
        <v>581.63091428147857</v>
      </c>
      <c r="F116">
        <f t="shared" si="5"/>
        <v>4.8779915572331589</v>
      </c>
      <c r="G116">
        <f t="shared" si="6"/>
        <v>4.3154915572331589</v>
      </c>
      <c r="H116">
        <v>22</v>
      </c>
    </row>
    <row r="117" spans="2:8">
      <c r="B117">
        <f>VLOOKUP(C117,wirelookup[],5,0)</f>
        <v>5.625</v>
      </c>
      <c r="C117">
        <v>0.5625</v>
      </c>
      <c r="D117">
        <f>VLOOKUP(C117,wirelookup[],2,0)/100</f>
        <v>9250.44</v>
      </c>
      <c r="E117">
        <f t="shared" si="4"/>
        <v>581.63091428147857</v>
      </c>
      <c r="F117">
        <f t="shared" si="5"/>
        <v>4.8699238394866553</v>
      </c>
      <c r="G117">
        <f t="shared" si="6"/>
        <v>4.3074238394866553</v>
      </c>
      <c r="H117">
        <v>23</v>
      </c>
    </row>
    <row r="118" spans="2:8">
      <c r="B118">
        <f>VLOOKUP(C118,wirelookup[],5,0)</f>
        <v>5.625</v>
      </c>
      <c r="C118">
        <v>0.5625</v>
      </c>
      <c r="D118">
        <f>VLOOKUP(C118,wirelookup[],2,0)/100</f>
        <v>9250.44</v>
      </c>
      <c r="E118">
        <f t="shared" si="4"/>
        <v>581.63091428147857</v>
      </c>
      <c r="F118">
        <f t="shared" si="5"/>
        <v>4.8618827640979188</v>
      </c>
      <c r="G118">
        <f t="shared" si="6"/>
        <v>4.2993827640979188</v>
      </c>
      <c r="H118">
        <v>24</v>
      </c>
    </row>
    <row r="119" spans="2:8">
      <c r="B119">
        <f>VLOOKUP(C119,wirelookup[],5,0)</f>
        <v>5.625</v>
      </c>
      <c r="C119">
        <v>0.5625</v>
      </c>
      <c r="D119">
        <f>VLOOKUP(C119,wirelookup[],2,0)/100</f>
        <v>9250.44</v>
      </c>
      <c r="E119">
        <f t="shared" si="4"/>
        <v>581.63091428147857</v>
      </c>
      <c r="F119">
        <f t="shared" si="5"/>
        <v>4.853868199311262</v>
      </c>
      <c r="G119">
        <f t="shared" si="6"/>
        <v>4.291368199311262</v>
      </c>
      <c r="H119">
        <v>25</v>
      </c>
    </row>
    <row r="120" spans="2:8">
      <c r="B120">
        <f>VLOOKUP(C120,wirelookup[],5,0)</f>
        <v>5.625</v>
      </c>
      <c r="C120">
        <v>0.5625</v>
      </c>
      <c r="D120">
        <f>VLOOKUP(C120,wirelookup[],2,0)/100</f>
        <v>9250.44</v>
      </c>
      <c r="E120">
        <f t="shared" si="4"/>
        <v>581.63091428147857</v>
      </c>
      <c r="F120">
        <f t="shared" si="5"/>
        <v>4.8458800142383369</v>
      </c>
      <c r="G120">
        <f t="shared" si="6"/>
        <v>4.2833800142383369</v>
      </c>
      <c r="H120">
        <v>26</v>
      </c>
    </row>
    <row r="121" spans="2:8">
      <c r="B121">
        <f>VLOOKUP(C121,wirelookup[],5,0)</f>
        <v>5.625</v>
      </c>
      <c r="C121">
        <v>0.5625</v>
      </c>
      <c r="D121">
        <f>VLOOKUP(C121,wirelookup[],2,0)/100</f>
        <v>9250.44</v>
      </c>
      <c r="E121">
        <f t="shared" si="4"/>
        <v>581.63091428147857</v>
      </c>
      <c r="F121">
        <f t="shared" si="5"/>
        <v>4.8379180788510103</v>
      </c>
      <c r="G121">
        <f t="shared" si="6"/>
        <v>4.2754180788510103</v>
      </c>
      <c r="H121">
        <v>27</v>
      </c>
    </row>
    <row r="122" spans="2:8">
      <c r="B122">
        <f>VLOOKUP(C122,wirelookup[],5,0)</f>
        <v>5.625</v>
      </c>
      <c r="C122">
        <v>0.5625</v>
      </c>
      <c r="D122">
        <f>VLOOKUP(C122,wirelookup[],2,0)/100</f>
        <v>9250.44</v>
      </c>
      <c r="E122">
        <f t="shared" si="4"/>
        <v>581.63091428147857</v>
      </c>
      <c r="F122">
        <f t="shared" si="5"/>
        <v>4.8299822639743111</v>
      </c>
      <c r="G122">
        <f t="shared" si="6"/>
        <v>4.2674822639743111</v>
      </c>
      <c r="H122">
        <v>28</v>
      </c>
    </row>
    <row r="123" spans="2:8">
      <c r="B123">
        <f>VLOOKUP(C123,wirelookup[],5,0)</f>
        <v>5.625</v>
      </c>
      <c r="C123">
        <v>0.5625</v>
      </c>
      <c r="D123">
        <f>VLOOKUP(C123,wirelookup[],2,0)/100</f>
        <v>9250.44</v>
      </c>
      <c r="E123">
        <f t="shared" si="4"/>
        <v>581.63091428147857</v>
      </c>
      <c r="F123">
        <f t="shared" si="5"/>
        <v>4.8220724412794382</v>
      </c>
      <c r="G123">
        <f t="shared" si="6"/>
        <v>4.2595724412794382</v>
      </c>
      <c r="H123">
        <v>29</v>
      </c>
    </row>
    <row r="124" spans="2:8">
      <c r="B124">
        <f>VLOOKUP(C124,wirelookup[],5,0)</f>
        <v>5.625</v>
      </c>
      <c r="C124">
        <v>0.5625</v>
      </c>
      <c r="D124">
        <f>VLOOKUP(C124,wirelookup[],2,0)/100</f>
        <v>9250.44</v>
      </c>
      <c r="E124">
        <f t="shared" si="4"/>
        <v>581.63091428147857</v>
      </c>
      <c r="F124">
        <f t="shared" si="5"/>
        <v>4.8141884832768511</v>
      </c>
      <c r="G124">
        <f t="shared" si="6"/>
        <v>4.2516884832768511</v>
      </c>
      <c r="H124">
        <v>30</v>
      </c>
    </row>
    <row r="125" spans="2:8">
      <c r="B125">
        <f>VLOOKUP(C125,wirelookup[],5,0)</f>
        <v>5.625</v>
      </c>
      <c r="C125">
        <v>0.5625</v>
      </c>
      <c r="D125">
        <f>VLOOKUP(C125,wirelookup[],2,0)/100</f>
        <v>9250.44</v>
      </c>
      <c r="E125">
        <f t="shared" si="4"/>
        <v>581.63091428147857</v>
      </c>
      <c r="F125">
        <f t="shared" si="5"/>
        <v>4.8063302633094125</v>
      </c>
      <c r="G125">
        <f t="shared" si="6"/>
        <v>4.2438302633094125</v>
      </c>
      <c r="H125">
        <v>31</v>
      </c>
    </row>
    <row r="126" spans="2:8">
      <c r="B126">
        <f>VLOOKUP(C126,wirelookup[],5,0)</f>
        <v>5.625</v>
      </c>
      <c r="C126">
        <v>0.5625</v>
      </c>
      <c r="D126">
        <f>VLOOKUP(C126,wirelookup[],2,0)/100</f>
        <v>9250.44</v>
      </c>
      <c r="E126">
        <f t="shared" si="4"/>
        <v>581.63091428147857</v>
      </c>
      <c r="F126">
        <f t="shared" si="5"/>
        <v>4.7984976555456118</v>
      </c>
      <c r="G126">
        <f t="shared" si="6"/>
        <v>4.2359976555456118</v>
      </c>
      <c r="H126">
        <v>32</v>
      </c>
    </row>
    <row r="127" spans="2:8">
      <c r="B127">
        <f>VLOOKUP(C127,wirelookup[],5,0)</f>
        <v>5.625</v>
      </c>
      <c r="C127">
        <v>0.625</v>
      </c>
      <c r="D127">
        <f>VLOOKUP(C127,wirelookup[],2,0)/100</f>
        <v>14099.13</v>
      </c>
      <c r="E127">
        <f t="shared" si="4"/>
        <v>897.57849311809366</v>
      </c>
      <c r="F127">
        <f t="shared" si="5"/>
        <v>4.9944356558294087</v>
      </c>
      <c r="G127">
        <f t="shared" si="6"/>
        <v>4.3694356558294087</v>
      </c>
      <c r="H127">
        <v>1</v>
      </c>
    </row>
    <row r="128" spans="2:8">
      <c r="B128">
        <f>VLOOKUP(C128,wirelookup[],5,0)</f>
        <v>5.625</v>
      </c>
      <c r="C128">
        <v>0.625</v>
      </c>
      <c r="D128">
        <f>VLOOKUP(C128,wirelookup[],2,0)/100</f>
        <v>14099.13</v>
      </c>
      <c r="E128">
        <f t="shared" si="4"/>
        <v>897.57849311809366</v>
      </c>
      <c r="F128">
        <f t="shared" si="5"/>
        <v>4.9888836826619345</v>
      </c>
      <c r="G128">
        <f t="shared" si="6"/>
        <v>4.3638836826619345</v>
      </c>
      <c r="H128">
        <v>2</v>
      </c>
    </row>
    <row r="129" spans="2:8">
      <c r="B129">
        <f>VLOOKUP(C129,wirelookup[],5,0)</f>
        <v>5.625</v>
      </c>
      <c r="C129">
        <v>0.625</v>
      </c>
      <c r="D129">
        <f>VLOOKUP(C129,wirelookup[],2,0)/100</f>
        <v>14099.13</v>
      </c>
      <c r="E129">
        <f t="shared" si="4"/>
        <v>897.57849311809366</v>
      </c>
      <c r="F129">
        <f t="shared" si="5"/>
        <v>4.9833440392873865</v>
      </c>
      <c r="G129">
        <f t="shared" si="6"/>
        <v>4.3583440392873865</v>
      </c>
      <c r="H129">
        <v>3</v>
      </c>
    </row>
    <row r="130" spans="2:8">
      <c r="B130">
        <f>VLOOKUP(C130,wirelookup[],5,0)</f>
        <v>5.625</v>
      </c>
      <c r="C130">
        <v>0.625</v>
      </c>
      <c r="D130">
        <f>VLOOKUP(C130,wirelookup[],2,0)/100</f>
        <v>14099.13</v>
      </c>
      <c r="E130">
        <f t="shared" si="4"/>
        <v>897.57849311809366</v>
      </c>
      <c r="F130">
        <f t="shared" si="5"/>
        <v>4.9778166846784133</v>
      </c>
      <c r="G130">
        <f t="shared" si="6"/>
        <v>4.3528166846784133</v>
      </c>
      <c r="H130">
        <v>4</v>
      </c>
    </row>
    <row r="131" spans="2:8">
      <c r="B131">
        <f>VLOOKUP(C131,wirelookup[],5,0)</f>
        <v>5.625</v>
      </c>
      <c r="C131">
        <v>0.625</v>
      </c>
      <c r="D131">
        <f>VLOOKUP(C131,wirelookup[],2,0)/100</f>
        <v>14099.13</v>
      </c>
      <c r="E131">
        <f t="shared" si="4"/>
        <v>897.57849311809366</v>
      </c>
      <c r="F131">
        <f t="shared" si="5"/>
        <v>4.9723015779894846</v>
      </c>
      <c r="G131">
        <f t="shared" si="6"/>
        <v>4.3473015779894846</v>
      </c>
      <c r="H131">
        <v>5</v>
      </c>
    </row>
    <row r="132" spans="2:8">
      <c r="B132">
        <f>VLOOKUP(C132,wirelookup[],5,0)</f>
        <v>5.625</v>
      </c>
      <c r="C132">
        <v>0.625</v>
      </c>
      <c r="D132">
        <f>VLOOKUP(C132,wirelookup[],2,0)/100</f>
        <v>14099.13</v>
      </c>
      <c r="E132">
        <f t="shared" si="4"/>
        <v>897.57849311809366</v>
      </c>
      <c r="F132">
        <f t="shared" si="5"/>
        <v>4.9667986785558886</v>
      </c>
      <c r="G132">
        <f t="shared" si="6"/>
        <v>4.3417986785558886</v>
      </c>
      <c r="H132">
        <v>6</v>
      </c>
    </row>
    <row r="133" spans="2:8">
      <c r="B133">
        <f>VLOOKUP(C133,wirelookup[],5,0)</f>
        <v>5.625</v>
      </c>
      <c r="C133">
        <v>0.625</v>
      </c>
      <c r="D133">
        <f>VLOOKUP(C133,wirelookup[],2,0)/100</f>
        <v>14099.13</v>
      </c>
      <c r="E133">
        <f t="shared" ref="E133:E158" si="7">D133/((B133-C133)*PI())</f>
        <v>897.57849311809366</v>
      </c>
      <c r="F133">
        <f t="shared" ref="F133:F158" si="8">D133/((E133+H133)*PI())</f>
        <v>4.9613079458927283</v>
      </c>
      <c r="G133">
        <f t="shared" ref="G133:G158" si="9">F133-C133</f>
        <v>4.3363079458927283</v>
      </c>
      <c r="H133">
        <v>7</v>
      </c>
    </row>
    <row r="134" spans="2:8">
      <c r="B134">
        <f>VLOOKUP(C134,wirelookup[],5,0)</f>
        <v>5.625</v>
      </c>
      <c r="C134">
        <v>0.625</v>
      </c>
      <c r="D134">
        <f>VLOOKUP(C134,wirelookup[],2,0)/100</f>
        <v>14099.13</v>
      </c>
      <c r="E134">
        <f t="shared" si="7"/>
        <v>897.57849311809366</v>
      </c>
      <c r="F134">
        <f t="shared" si="8"/>
        <v>4.9558293396939321</v>
      </c>
      <c r="G134">
        <f t="shared" si="9"/>
        <v>4.3308293396939321</v>
      </c>
      <c r="H134">
        <v>8</v>
      </c>
    </row>
    <row r="135" spans="2:8">
      <c r="B135">
        <f>VLOOKUP(C135,wirelookup[],5,0)</f>
        <v>5.625</v>
      </c>
      <c r="C135">
        <v>0.625</v>
      </c>
      <c r="D135">
        <f>VLOOKUP(C135,wirelookup[],2,0)/100</f>
        <v>14099.13</v>
      </c>
      <c r="E135">
        <f t="shared" si="7"/>
        <v>897.57849311809366</v>
      </c>
      <c r="F135">
        <f t="shared" si="8"/>
        <v>4.9503628198312688</v>
      </c>
      <c r="G135">
        <f t="shared" si="9"/>
        <v>4.3253628198312688</v>
      </c>
      <c r="H135">
        <v>9</v>
      </c>
    </row>
    <row r="136" spans="2:8">
      <c r="B136">
        <f>VLOOKUP(C136,wirelookup[],5,0)</f>
        <v>5.625</v>
      </c>
      <c r="C136">
        <v>0.625</v>
      </c>
      <c r="D136">
        <f>VLOOKUP(C136,wirelookup[],2,0)/100</f>
        <v>14099.13</v>
      </c>
      <c r="E136">
        <f t="shared" si="7"/>
        <v>897.57849311809366</v>
      </c>
      <c r="F136">
        <f t="shared" si="8"/>
        <v>4.9449083463533618</v>
      </c>
      <c r="G136">
        <f t="shared" si="9"/>
        <v>4.3199083463533618</v>
      </c>
      <c r="H136">
        <v>10</v>
      </c>
    </row>
    <row r="137" spans="2:8">
      <c r="B137">
        <f>VLOOKUP(C137,wirelookup[],5,0)</f>
        <v>5.625</v>
      </c>
      <c r="C137">
        <v>0.625</v>
      </c>
      <c r="D137">
        <f>VLOOKUP(C137,wirelookup[],2,0)/100</f>
        <v>14099.13</v>
      </c>
      <c r="E137">
        <f t="shared" si="7"/>
        <v>897.57849311809366</v>
      </c>
      <c r="F137">
        <f t="shared" si="8"/>
        <v>4.9394658794847226</v>
      </c>
      <c r="G137">
        <f t="shared" si="9"/>
        <v>4.3144658794847226</v>
      </c>
      <c r="H137">
        <v>11</v>
      </c>
    </row>
    <row r="138" spans="2:8">
      <c r="B138">
        <f>VLOOKUP(C138,wirelookup[],5,0)</f>
        <v>5.625</v>
      </c>
      <c r="C138">
        <v>0.625</v>
      </c>
      <c r="D138">
        <f>VLOOKUP(C138,wirelookup[],2,0)/100</f>
        <v>14099.13</v>
      </c>
      <c r="E138">
        <f t="shared" si="7"/>
        <v>897.57849311809366</v>
      </c>
      <c r="F138">
        <f t="shared" si="8"/>
        <v>4.9340353796247793</v>
      </c>
      <c r="G138">
        <f t="shared" si="9"/>
        <v>4.3090353796247793</v>
      </c>
      <c r="H138">
        <v>12</v>
      </c>
    </row>
    <row r="139" spans="2:8">
      <c r="B139">
        <f>VLOOKUP(C139,wirelookup[],5,0)</f>
        <v>5.625</v>
      </c>
      <c r="C139">
        <v>0.625</v>
      </c>
      <c r="D139">
        <f>VLOOKUP(C139,wirelookup[],2,0)/100</f>
        <v>14099.13</v>
      </c>
      <c r="E139">
        <f t="shared" si="7"/>
        <v>897.57849311809366</v>
      </c>
      <c r="F139">
        <f t="shared" si="8"/>
        <v>4.9286168073469199</v>
      </c>
      <c r="G139">
        <f t="shared" si="9"/>
        <v>4.3036168073469199</v>
      </c>
      <c r="H139">
        <v>13</v>
      </c>
    </row>
    <row r="140" spans="2:8">
      <c r="B140">
        <f>VLOOKUP(C140,wirelookup[],5,0)</f>
        <v>5.625</v>
      </c>
      <c r="C140">
        <v>0.625</v>
      </c>
      <c r="D140">
        <f>VLOOKUP(C140,wirelookup[],2,0)/100</f>
        <v>14099.13</v>
      </c>
      <c r="E140">
        <f t="shared" si="7"/>
        <v>897.57849311809366</v>
      </c>
      <c r="F140">
        <f t="shared" si="8"/>
        <v>4.9232101233975349</v>
      </c>
      <c r="G140">
        <f t="shared" si="9"/>
        <v>4.2982101233975349</v>
      </c>
      <c r="H140">
        <v>14</v>
      </c>
    </row>
    <row r="141" spans="2:8">
      <c r="B141">
        <f>VLOOKUP(C141,wirelookup[],5,0)</f>
        <v>5.625</v>
      </c>
      <c r="C141">
        <v>0.625</v>
      </c>
      <c r="D141">
        <f>VLOOKUP(C141,wirelookup[],2,0)/100</f>
        <v>14099.13</v>
      </c>
      <c r="E141">
        <f t="shared" si="7"/>
        <v>897.57849311809366</v>
      </c>
      <c r="F141">
        <f t="shared" si="8"/>
        <v>4.9178152886950688</v>
      </c>
      <c r="G141">
        <f t="shared" si="9"/>
        <v>4.2928152886950688</v>
      </c>
      <c r="H141">
        <v>15</v>
      </c>
    </row>
    <row r="142" spans="2:8">
      <c r="B142">
        <f>VLOOKUP(C142,wirelookup[],5,0)</f>
        <v>5.625</v>
      </c>
      <c r="C142">
        <v>0.625</v>
      </c>
      <c r="D142">
        <f>VLOOKUP(C142,wirelookup[],2,0)/100</f>
        <v>14099.13</v>
      </c>
      <c r="E142">
        <f t="shared" si="7"/>
        <v>897.57849311809366</v>
      </c>
      <c r="F142">
        <f t="shared" si="8"/>
        <v>4.912432264329083</v>
      </c>
      <c r="G142">
        <f t="shared" si="9"/>
        <v>4.287432264329083</v>
      </c>
      <c r="H142">
        <v>16</v>
      </c>
    </row>
    <row r="143" spans="2:8">
      <c r="B143">
        <f>VLOOKUP(C143,wirelookup[],5,0)</f>
        <v>5.625</v>
      </c>
      <c r="C143">
        <v>0.625</v>
      </c>
      <c r="D143">
        <f>VLOOKUP(C143,wirelookup[],2,0)/100</f>
        <v>14099.13</v>
      </c>
      <c r="E143">
        <f t="shared" si="7"/>
        <v>897.57849311809366</v>
      </c>
      <c r="F143">
        <f t="shared" si="8"/>
        <v>4.9070610115593167</v>
      </c>
      <c r="G143">
        <f t="shared" si="9"/>
        <v>4.2820610115593167</v>
      </c>
      <c r="H143">
        <v>17</v>
      </c>
    </row>
    <row r="144" spans="2:8">
      <c r="B144">
        <f>VLOOKUP(C144,wirelookup[],5,0)</f>
        <v>5.625</v>
      </c>
      <c r="C144">
        <v>0.625</v>
      </c>
      <c r="D144">
        <f>VLOOKUP(C144,wirelookup[],2,0)/100</f>
        <v>14099.13</v>
      </c>
      <c r="E144">
        <f t="shared" si="7"/>
        <v>897.57849311809366</v>
      </c>
      <c r="F144">
        <f t="shared" si="8"/>
        <v>4.9017014918147588</v>
      </c>
      <c r="G144">
        <f t="shared" si="9"/>
        <v>4.2767014918147588</v>
      </c>
      <c r="H144">
        <v>18</v>
      </c>
    </row>
    <row r="145" spans="2:8">
      <c r="B145">
        <f>VLOOKUP(C145,wirelookup[],5,0)</f>
        <v>5.625</v>
      </c>
      <c r="C145">
        <v>0.625</v>
      </c>
      <c r="D145">
        <f>VLOOKUP(C145,wirelookup[],2,0)/100</f>
        <v>14099.13</v>
      </c>
      <c r="E145">
        <f t="shared" si="7"/>
        <v>897.57849311809366</v>
      </c>
      <c r="F145">
        <f t="shared" si="8"/>
        <v>4.8963536666927228</v>
      </c>
      <c r="G145">
        <f t="shared" si="9"/>
        <v>4.2713536666927228</v>
      </c>
      <c r="H145">
        <v>19</v>
      </c>
    </row>
    <row r="146" spans="2:8">
      <c r="B146">
        <f>VLOOKUP(C146,wirelookup[],5,0)</f>
        <v>5.625</v>
      </c>
      <c r="C146">
        <v>0.625</v>
      </c>
      <c r="D146">
        <f>VLOOKUP(C146,wirelookup[],2,0)/100</f>
        <v>14099.13</v>
      </c>
      <c r="E146">
        <f t="shared" si="7"/>
        <v>897.57849311809366</v>
      </c>
      <c r="F146">
        <f t="shared" si="8"/>
        <v>4.8910174979579324</v>
      </c>
      <c r="G146">
        <f t="shared" si="9"/>
        <v>4.2660174979579324</v>
      </c>
      <c r="H146">
        <v>20</v>
      </c>
    </row>
    <row r="147" spans="2:8">
      <c r="B147">
        <f>VLOOKUP(C147,wirelookup[],5,0)</f>
        <v>5.625</v>
      </c>
      <c r="C147">
        <v>0.625</v>
      </c>
      <c r="D147">
        <f>VLOOKUP(C147,wirelookup[],2,0)/100</f>
        <v>14099.13</v>
      </c>
      <c r="E147">
        <f t="shared" si="7"/>
        <v>897.57849311809366</v>
      </c>
      <c r="F147">
        <f t="shared" si="8"/>
        <v>4.8856929475416093</v>
      </c>
      <c r="G147">
        <f t="shared" si="9"/>
        <v>4.2606929475416093</v>
      </c>
      <c r="H147">
        <v>21</v>
      </c>
    </row>
    <row r="148" spans="2:8">
      <c r="B148">
        <f>VLOOKUP(C148,wirelookup[],5,0)</f>
        <v>5.625</v>
      </c>
      <c r="C148">
        <v>0.625</v>
      </c>
      <c r="D148">
        <f>VLOOKUP(C148,wirelookup[],2,0)/100</f>
        <v>14099.13</v>
      </c>
      <c r="E148">
        <f t="shared" si="7"/>
        <v>897.57849311809366</v>
      </c>
      <c r="F148">
        <f t="shared" si="8"/>
        <v>4.8803799775405654</v>
      </c>
      <c r="G148">
        <f t="shared" si="9"/>
        <v>4.2553799775405654</v>
      </c>
      <c r="H148">
        <v>22</v>
      </c>
    </row>
    <row r="149" spans="2:8">
      <c r="B149">
        <f>VLOOKUP(C149,wirelookup[],5,0)</f>
        <v>5.625</v>
      </c>
      <c r="C149">
        <v>0.625</v>
      </c>
      <c r="D149">
        <f>VLOOKUP(C149,wirelookup[],2,0)/100</f>
        <v>14099.13</v>
      </c>
      <c r="E149">
        <f t="shared" si="7"/>
        <v>897.57849311809366</v>
      </c>
      <c r="F149">
        <f t="shared" si="8"/>
        <v>4.8750785502163065</v>
      </c>
      <c r="G149">
        <f t="shared" si="9"/>
        <v>4.2500785502163065</v>
      </c>
      <c r="H149">
        <v>23</v>
      </c>
    </row>
    <row r="150" spans="2:8">
      <c r="B150">
        <f>VLOOKUP(C150,wirelookup[],5,0)</f>
        <v>5.625</v>
      </c>
      <c r="C150">
        <v>0.625</v>
      </c>
      <c r="D150">
        <f>VLOOKUP(C150,wirelookup[],2,0)/100</f>
        <v>14099.13</v>
      </c>
      <c r="E150">
        <f t="shared" si="7"/>
        <v>897.57849311809366</v>
      </c>
      <c r="F150">
        <f t="shared" si="8"/>
        <v>4.86978862799414</v>
      </c>
      <c r="G150">
        <f t="shared" si="9"/>
        <v>4.24478862799414</v>
      </c>
      <c r="H150">
        <v>24</v>
      </c>
    </row>
    <row r="151" spans="2:8">
      <c r="B151">
        <f>VLOOKUP(C151,wirelookup[],5,0)</f>
        <v>5.625</v>
      </c>
      <c r="C151">
        <v>0.625</v>
      </c>
      <c r="D151">
        <f>VLOOKUP(C151,wirelookup[],2,0)/100</f>
        <v>14099.13</v>
      </c>
      <c r="E151">
        <f t="shared" si="7"/>
        <v>897.57849311809366</v>
      </c>
      <c r="F151">
        <f t="shared" si="8"/>
        <v>4.864510173462282</v>
      </c>
      <c r="G151">
        <f t="shared" si="9"/>
        <v>4.239510173462282</v>
      </c>
      <c r="H151">
        <v>25</v>
      </c>
    </row>
    <row r="152" spans="2:8">
      <c r="B152">
        <f>VLOOKUP(C152,wirelookup[],5,0)</f>
        <v>5.625</v>
      </c>
      <c r="C152">
        <v>0.625</v>
      </c>
      <c r="D152">
        <f>VLOOKUP(C152,wirelookup[],2,0)/100</f>
        <v>14099.13</v>
      </c>
      <c r="E152">
        <f t="shared" si="7"/>
        <v>897.57849311809366</v>
      </c>
      <c r="F152">
        <f t="shared" si="8"/>
        <v>4.8592431493709789</v>
      </c>
      <c r="G152">
        <f t="shared" si="9"/>
        <v>4.2342431493709789</v>
      </c>
      <c r="H152">
        <v>26</v>
      </c>
    </row>
    <row r="153" spans="2:8">
      <c r="B153">
        <f>VLOOKUP(C153,wirelookup[],5,0)</f>
        <v>5.625</v>
      </c>
      <c r="C153">
        <v>0.625</v>
      </c>
      <c r="D153">
        <f>VLOOKUP(C153,wirelookup[],2,0)/100</f>
        <v>14099.13</v>
      </c>
      <c r="E153">
        <f t="shared" si="7"/>
        <v>897.57849311809366</v>
      </c>
      <c r="F153">
        <f t="shared" si="8"/>
        <v>4.853987518631631</v>
      </c>
      <c r="G153">
        <f t="shared" si="9"/>
        <v>4.228987518631631</v>
      </c>
      <c r="H153">
        <v>27</v>
      </c>
    </row>
    <row r="154" spans="2:8">
      <c r="B154">
        <f>VLOOKUP(C154,wirelookup[],5,0)</f>
        <v>5.625</v>
      </c>
      <c r="C154">
        <v>0.625</v>
      </c>
      <c r="D154">
        <f>VLOOKUP(C154,wirelookup[],2,0)/100</f>
        <v>14099.13</v>
      </c>
      <c r="E154">
        <f t="shared" si="7"/>
        <v>897.57849311809366</v>
      </c>
      <c r="F154">
        <f t="shared" si="8"/>
        <v>4.8487432443159229</v>
      </c>
      <c r="G154">
        <f t="shared" si="9"/>
        <v>4.2237432443159229</v>
      </c>
      <c r="H154">
        <v>28</v>
      </c>
    </row>
    <row r="155" spans="2:8">
      <c r="B155">
        <f>VLOOKUP(C155,wirelookup[],5,0)</f>
        <v>5.625</v>
      </c>
      <c r="C155">
        <v>0.625</v>
      </c>
      <c r="D155">
        <f>VLOOKUP(C155,wirelookup[],2,0)/100</f>
        <v>14099.13</v>
      </c>
      <c r="E155">
        <f t="shared" si="7"/>
        <v>897.57849311809366</v>
      </c>
      <c r="F155">
        <f t="shared" si="8"/>
        <v>4.8435102896549544</v>
      </c>
      <c r="G155">
        <f t="shared" si="9"/>
        <v>4.2185102896549544</v>
      </c>
      <c r="H155">
        <v>29</v>
      </c>
    </row>
    <row r="156" spans="2:8">
      <c r="B156">
        <f>VLOOKUP(C156,wirelookup[],5,0)</f>
        <v>5.625</v>
      </c>
      <c r="C156">
        <v>0.625</v>
      </c>
      <c r="D156">
        <f>VLOOKUP(C156,wirelookup[],2,0)/100</f>
        <v>14099.13</v>
      </c>
      <c r="E156">
        <f t="shared" si="7"/>
        <v>897.57849311809366</v>
      </c>
      <c r="F156">
        <f t="shared" si="8"/>
        <v>4.8382886180383844</v>
      </c>
      <c r="G156">
        <f t="shared" si="9"/>
        <v>4.2132886180383844</v>
      </c>
      <c r="H156">
        <v>30</v>
      </c>
    </row>
    <row r="157" spans="2:8">
      <c r="B157">
        <f>VLOOKUP(C157,wirelookup[],5,0)</f>
        <v>5.625</v>
      </c>
      <c r="C157">
        <v>0.625</v>
      </c>
      <c r="D157">
        <f>VLOOKUP(C157,wirelookup[],2,0)/100</f>
        <v>14099.13</v>
      </c>
      <c r="E157">
        <f t="shared" si="7"/>
        <v>897.57849311809366</v>
      </c>
      <c r="F157">
        <f t="shared" si="8"/>
        <v>4.8330781930135789</v>
      </c>
      <c r="G157">
        <f t="shared" si="9"/>
        <v>4.2080781930135789</v>
      </c>
      <c r="H157">
        <v>31</v>
      </c>
    </row>
    <row r="158" spans="2:8">
      <c r="B158">
        <f>VLOOKUP(C158,wirelookup[],5,0)</f>
        <v>5.625</v>
      </c>
      <c r="C158">
        <v>0.625</v>
      </c>
      <c r="D158">
        <f>VLOOKUP(C158,wirelookup[],2,0)/100</f>
        <v>14099.13</v>
      </c>
      <c r="E158">
        <f t="shared" si="7"/>
        <v>897.57849311809366</v>
      </c>
      <c r="F158">
        <f t="shared" si="8"/>
        <v>4.82787897828476</v>
      </c>
      <c r="G158">
        <f t="shared" si="9"/>
        <v>4.20287897828476</v>
      </c>
      <c r="H158">
        <v>32</v>
      </c>
    </row>
    <row r="162" spans="3:35">
      <c r="D162">
        <v>1</v>
      </c>
      <c r="E162">
        <v>2</v>
      </c>
      <c r="F162">
        <v>3</v>
      </c>
      <c r="G162">
        <v>4</v>
      </c>
      <c r="H162">
        <v>5</v>
      </c>
      <c r="I162">
        <v>6</v>
      </c>
      <c r="J162">
        <v>7</v>
      </c>
      <c r="K162">
        <v>8</v>
      </c>
      <c r="L162">
        <v>9</v>
      </c>
      <c r="M162">
        <v>10</v>
      </c>
      <c r="N162">
        <v>11</v>
      </c>
      <c r="O162">
        <v>12</v>
      </c>
      <c r="P162">
        <v>13</v>
      </c>
      <c r="Q162">
        <v>14</v>
      </c>
      <c r="R162">
        <v>15</v>
      </c>
      <c r="S162">
        <v>16</v>
      </c>
      <c r="T162">
        <v>17</v>
      </c>
      <c r="U162">
        <v>18</v>
      </c>
      <c r="V162">
        <v>19</v>
      </c>
      <c r="W162">
        <v>20</v>
      </c>
      <c r="X162">
        <v>21</v>
      </c>
      <c r="Y162">
        <v>22</v>
      </c>
      <c r="Z162">
        <v>23</v>
      </c>
      <c r="AA162">
        <v>24</v>
      </c>
      <c r="AB162">
        <v>25</v>
      </c>
      <c r="AC162">
        <v>26</v>
      </c>
      <c r="AD162">
        <v>27</v>
      </c>
      <c r="AE162">
        <v>28</v>
      </c>
      <c r="AF162">
        <v>29</v>
      </c>
      <c r="AG162">
        <v>30</v>
      </c>
      <c r="AH162">
        <v>31</v>
      </c>
      <c r="AI162">
        <v>32</v>
      </c>
    </row>
    <row r="163" spans="3:35">
      <c r="C163">
        <v>0.1875</v>
      </c>
      <c r="D163">
        <v>2.2062562965086308</v>
      </c>
    </row>
    <row r="164" spans="3:35">
      <c r="C164">
        <v>0.25</v>
      </c>
      <c r="D164">
        <v>2.1967575733687252</v>
      </c>
      <c r="E164">
        <v>2.1457356612988723</v>
      </c>
      <c r="F164">
        <v>2.0967981890496192</v>
      </c>
    </row>
    <row r="165" spans="3:35">
      <c r="C165">
        <v>0.3125</v>
      </c>
      <c r="D165">
        <v>2.1040003623196499</v>
      </c>
      <c r="E165">
        <v>2.0833594676514586</v>
      </c>
      <c r="F165">
        <v>2.0630682010825678</v>
      </c>
      <c r="G165">
        <v>2.0431177538948004</v>
      </c>
      <c r="H165">
        <v>2.0234996108143544</v>
      </c>
      <c r="I165">
        <v>2.0042055378933519</v>
      </c>
    </row>
    <row r="166" spans="3:35">
      <c r="C166">
        <v>0.375</v>
      </c>
      <c r="D166">
        <v>2.9805289645254422</v>
      </c>
      <c r="E166">
        <v>2.9612813047807052</v>
      </c>
      <c r="F166">
        <v>2.9422531987705676</v>
      </c>
      <c r="G166">
        <v>2.9234409111986155</v>
      </c>
      <c r="H166">
        <v>2.9048407910227407</v>
      </c>
      <c r="I166">
        <v>2.8864492690928829</v>
      </c>
      <c r="J166">
        <v>2.8682628558678118</v>
      </c>
      <c r="K166">
        <v>2.850278139207866</v>
      </c>
      <c r="L166">
        <v>2.8324917822407341</v>
      </c>
      <c r="M166">
        <v>2.8149005212974623</v>
      </c>
    </row>
    <row r="167" spans="3:35">
      <c r="C167">
        <v>0.40625</v>
      </c>
      <c r="D167">
        <v>2.9235943852164876</v>
      </c>
      <c r="E167">
        <v>2.909803949679862</v>
      </c>
      <c r="F167">
        <v>2.89612726825963</v>
      </c>
      <c r="G167">
        <v>2.8825629392398735</v>
      </c>
      <c r="H167">
        <v>2.8691095838403449</v>
      </c>
      <c r="I167">
        <v>2.8557658457492687</v>
      </c>
      <c r="J167">
        <v>2.8425303906675206</v>
      </c>
      <c r="K167">
        <v>2.8294019058638558</v>
      </c>
      <c r="L167">
        <v>2.8163790997408777</v>
      </c>
      <c r="M167">
        <v>2.8034607014114474</v>
      </c>
      <c r="N167">
        <v>2.7906454602852402</v>
      </c>
      <c r="O167">
        <v>2.7779321456651656</v>
      </c>
      <c r="P167">
        <v>2.7653195463533815</v>
      </c>
    </row>
    <row r="168" spans="3:35">
      <c r="C168">
        <v>0.4375</v>
      </c>
      <c r="D168">
        <v>2.8648460181202631</v>
      </c>
      <c r="E168">
        <v>2.8547540970801895</v>
      </c>
      <c r="F168">
        <v>2.8447236696422005</v>
      </c>
      <c r="G168">
        <v>2.8347541754604713</v>
      </c>
      <c r="H168">
        <v>2.8248450609765881</v>
      </c>
      <c r="I168">
        <v>2.8149957793170826</v>
      </c>
      <c r="J168">
        <v>2.8052057901928311</v>
      </c>
      <c r="K168">
        <v>2.7954745598002511</v>
      </c>
      <c r="L168">
        <v>2.7858015607242832</v>
      </c>
      <c r="M168">
        <v>2.7761862718431032</v>
      </c>
      <c r="N168">
        <v>2.7666281782345314</v>
      </c>
      <c r="O168">
        <v>2.7571267710841205</v>
      </c>
      <c r="P168">
        <v>2.7476815475948553</v>
      </c>
      <c r="Q168">
        <v>2.7382920108984674</v>
      </c>
      <c r="R168">
        <v>2.7289576699683002</v>
      </c>
      <c r="S168">
        <v>2.7196780395337159</v>
      </c>
    </row>
    <row r="169" spans="3:35">
      <c r="C169">
        <v>0.46875</v>
      </c>
      <c r="D169">
        <v>2.804930301618012</v>
      </c>
      <c r="E169">
        <v>2.7973954487665482</v>
      </c>
      <c r="F169">
        <v>2.7898952013919089</v>
      </c>
      <c r="G169">
        <v>2.7824293216403437</v>
      </c>
      <c r="H169">
        <v>2.7749975738329038</v>
      </c>
      <c r="I169">
        <v>2.7675997244406454</v>
      </c>
      <c r="J169">
        <v>2.7602355420601667</v>
      </c>
      <c r="K169">
        <v>2.7529047973894807</v>
      </c>
      <c r="L169">
        <v>2.7456072632042141</v>
      </c>
      <c r="M169">
        <v>2.7383427143341308</v>
      </c>
      <c r="N169">
        <v>2.7311109276399734</v>
      </c>
      <c r="O169">
        <v>2.7239116819906122</v>
      </c>
      <c r="P169">
        <v>2.7167447582405111</v>
      </c>
      <c r="Q169">
        <v>2.7096099392074855</v>
      </c>
      <c r="R169">
        <v>2.7025070096507693</v>
      </c>
      <c r="S169">
        <v>2.695435756249366</v>
      </c>
      <c r="T169">
        <v>2.6883959675806954</v>
      </c>
      <c r="U169">
        <v>2.6813874340995212</v>
      </c>
      <c r="V169">
        <v>2.6744099481171593</v>
      </c>
    </row>
    <row r="170" spans="3:35">
      <c r="C170">
        <v>0.5</v>
      </c>
      <c r="D170">
        <v>4.6107512588101924</v>
      </c>
      <c r="E170">
        <v>4.5965815278554274</v>
      </c>
      <c r="F170">
        <v>4.5824901517770531</v>
      </c>
      <c r="G170">
        <v>4.5684764824443516</v>
      </c>
      <c r="H170">
        <v>4.5545398788551719</v>
      </c>
      <c r="I170">
        <v>4.5406797070381888</v>
      </c>
      <c r="J170">
        <v>4.5268953399567735</v>
      </c>
      <c r="K170">
        <v>4.513186157414431</v>
      </c>
      <c r="L170">
        <v>4.4995515459617819</v>
      </c>
      <c r="M170">
        <v>4.4859908988050616</v>
      </c>
      <c r="N170">
        <v>4.4725036157161</v>
      </c>
      <c r="O170">
        <v>4.4590891029437616</v>
      </c>
      <c r="P170">
        <v>4.4457467731268103</v>
      </c>
      <c r="Q170">
        <v>4.4324760452081877</v>
      </c>
      <c r="R170">
        <v>4.4192763443506511</v>
      </c>
      <c r="S170">
        <v>4.406147101853783</v>
      </c>
      <c r="T170">
        <v>4.3930877550723029</v>
      </c>
      <c r="U170">
        <v>4.3800977473357028</v>
      </c>
      <c r="V170">
        <v>4.3671765278691455</v>
      </c>
      <c r="W170">
        <v>4.3543235517156162</v>
      </c>
      <c r="X170">
        <v>4.3415382796593134</v>
      </c>
      <c r="Y170">
        <v>4.3288201781502371</v>
      </c>
      <c r="Z170">
        <v>4.3161687192299718</v>
      </c>
    </row>
    <row r="171" spans="3:35">
      <c r="C171">
        <v>0.5625</v>
      </c>
      <c r="D171">
        <v>4.4913109656973083</v>
      </c>
      <c r="E171">
        <v>4.4826517071795875</v>
      </c>
      <c r="F171">
        <v>4.4740220716541028</v>
      </c>
      <c r="G171">
        <v>4.4654219073717352</v>
      </c>
      <c r="H171">
        <v>4.4568510636180774</v>
      </c>
      <c r="I171">
        <v>4.4483093907046376</v>
      </c>
      <c r="J171">
        <v>4.4397967399601193</v>
      </c>
      <c r="K171">
        <v>4.4313129637217994</v>
      </c>
      <c r="L171">
        <v>4.422857915326988</v>
      </c>
      <c r="M171">
        <v>4.4144314491045771</v>
      </c>
      <c r="N171">
        <v>4.4060334203666756</v>
      </c>
      <c r="O171">
        <v>4.3976636854003273</v>
      </c>
      <c r="P171">
        <v>4.3893221014593147</v>
      </c>
      <c r="Q171">
        <v>4.3810085267560392</v>
      </c>
      <c r="R171">
        <v>4.3727228204534931</v>
      </c>
      <c r="S171">
        <v>4.3644648426573021</v>
      </c>
      <c r="T171">
        <v>4.3562344544078568</v>
      </c>
      <c r="U171">
        <v>4.3480315176725117</v>
      </c>
      <c r="V171">
        <v>4.3398558953378759</v>
      </c>
      <c r="W171">
        <v>4.3317074512021669</v>
      </c>
      <c r="X171">
        <v>4.3235860499676528</v>
      </c>
      <c r="Y171">
        <v>4.3154915572331589</v>
      </c>
      <c r="Z171">
        <v>4.3074238394866553</v>
      </c>
      <c r="AA171">
        <v>4.2993827640979188</v>
      </c>
      <c r="AB171">
        <v>4.291368199311262</v>
      </c>
      <c r="AC171">
        <v>4.2833800142383369</v>
      </c>
      <c r="AD171">
        <v>4.2754180788510103</v>
      </c>
      <c r="AE171">
        <v>4.2674822639743111</v>
      </c>
      <c r="AF171">
        <v>4.2595724412794382</v>
      </c>
      <c r="AG171">
        <v>4.2516884832768511</v>
      </c>
      <c r="AH171">
        <v>4.2438302633094125</v>
      </c>
      <c r="AI171">
        <v>4.2359976555456118</v>
      </c>
    </row>
    <row r="172" spans="3:35">
      <c r="C172">
        <v>0.625</v>
      </c>
      <c r="D172">
        <v>4.3694356558294087</v>
      </c>
      <c r="E172">
        <v>4.3638836826619345</v>
      </c>
      <c r="F172">
        <v>4.3583440392873865</v>
      </c>
      <c r="G172">
        <v>4.3528166846784133</v>
      </c>
      <c r="H172">
        <v>4.3473015779894846</v>
      </c>
      <c r="I172">
        <v>4.3417986785558886</v>
      </c>
      <c r="J172">
        <v>4.3363079458927283</v>
      </c>
      <c r="K172">
        <v>4.3308293396939321</v>
      </c>
      <c r="L172">
        <v>4.3253628198312688</v>
      </c>
      <c r="M172">
        <v>4.3199083463533618</v>
      </c>
      <c r="N172">
        <v>4.3144658794847226</v>
      </c>
      <c r="O172">
        <v>4.3090353796247793</v>
      </c>
      <c r="P172">
        <v>4.3036168073469199</v>
      </c>
      <c r="Q172">
        <v>4.2982101233975349</v>
      </c>
      <c r="R172">
        <v>4.2928152886950688</v>
      </c>
      <c r="S172">
        <v>4.287432264329083</v>
      </c>
      <c r="T172">
        <v>4.2820610115593167</v>
      </c>
      <c r="U172">
        <v>4.2767014918147588</v>
      </c>
      <c r="V172">
        <v>4.2713536666927228</v>
      </c>
      <c r="W172">
        <v>4.2660174979579324</v>
      </c>
      <c r="X172">
        <v>4.2606929475416093</v>
      </c>
      <c r="Y172">
        <v>4.2553799775405654</v>
      </c>
      <c r="Z172">
        <v>4.2500785502163065</v>
      </c>
      <c r="AA172">
        <v>4.24478862799414</v>
      </c>
      <c r="AB172">
        <v>4.239510173462282</v>
      </c>
      <c r="AC172">
        <v>4.2342431493709789</v>
      </c>
      <c r="AD172">
        <v>4.228987518631631</v>
      </c>
      <c r="AE172">
        <v>4.2237432443159229</v>
      </c>
      <c r="AF172">
        <v>4.2185102896549544</v>
      </c>
      <c r="AG172">
        <v>4.2132886180383844</v>
      </c>
      <c r="AH172">
        <v>4.2080781930135789</v>
      </c>
      <c r="AI172">
        <v>4.20287897828476</v>
      </c>
    </row>
    <row r="173" spans="3:35">
      <c r="C173">
        <v>2.75</v>
      </c>
      <c r="D173">
        <v>2.75</v>
      </c>
      <c r="E173">
        <v>2.75</v>
      </c>
      <c r="F173">
        <v>2.75</v>
      </c>
      <c r="G173">
        <v>2.75</v>
      </c>
      <c r="H173">
        <v>2.75</v>
      </c>
      <c r="I173">
        <v>2.75</v>
      </c>
      <c r="J173">
        <v>2.75</v>
      </c>
      <c r="K173">
        <v>2.75</v>
      </c>
      <c r="L173">
        <v>2.75</v>
      </c>
      <c r="M173">
        <v>2.75</v>
      </c>
      <c r="N173">
        <v>2.75</v>
      </c>
      <c r="O173">
        <v>2.75</v>
      </c>
      <c r="P173">
        <v>2.75</v>
      </c>
      <c r="Q173">
        <v>2.75</v>
      </c>
      <c r="R173">
        <v>2.75</v>
      </c>
      <c r="S173">
        <v>2.75</v>
      </c>
      <c r="T173">
        <v>2.75</v>
      </c>
      <c r="U173">
        <v>2.75</v>
      </c>
      <c r="V173">
        <v>2.75</v>
      </c>
      <c r="W173">
        <v>2.75</v>
      </c>
      <c r="X173">
        <v>2.75</v>
      </c>
      <c r="Y173">
        <v>2.75</v>
      </c>
      <c r="Z173">
        <v>2.75</v>
      </c>
      <c r="AA173">
        <v>2.75</v>
      </c>
      <c r="AB173">
        <v>2.75</v>
      </c>
      <c r="AC173">
        <v>2.75</v>
      </c>
      <c r="AD173">
        <v>2.75</v>
      </c>
      <c r="AE173">
        <v>2.75</v>
      </c>
      <c r="AF173">
        <v>2.75</v>
      </c>
      <c r="AG173">
        <v>2.75</v>
      </c>
      <c r="AH173">
        <v>2.75</v>
      </c>
      <c r="AI173">
        <v>2.75</v>
      </c>
    </row>
    <row r="174" spans="3:35">
      <c r="C174">
        <v>3.75</v>
      </c>
      <c r="D174">
        <v>3.75</v>
      </c>
      <c r="E174">
        <v>3.75</v>
      </c>
      <c r="F174">
        <v>3.75</v>
      </c>
      <c r="G174">
        <v>3.75</v>
      </c>
      <c r="H174">
        <v>3.75</v>
      </c>
      <c r="I174">
        <v>3.75</v>
      </c>
      <c r="J174">
        <v>3.75</v>
      </c>
      <c r="K174">
        <v>3.75</v>
      </c>
      <c r="L174">
        <v>3.75</v>
      </c>
      <c r="M174">
        <v>3.75</v>
      </c>
      <c r="N174">
        <v>3.75</v>
      </c>
      <c r="O174">
        <v>3.75</v>
      </c>
      <c r="P174">
        <v>3.75</v>
      </c>
      <c r="Q174">
        <v>3.75</v>
      </c>
      <c r="R174">
        <v>3.75</v>
      </c>
      <c r="S174">
        <v>3.75</v>
      </c>
      <c r="T174">
        <v>3.75</v>
      </c>
      <c r="U174">
        <v>3.75</v>
      </c>
      <c r="V174">
        <v>3.75</v>
      </c>
      <c r="W174">
        <v>3.75</v>
      </c>
      <c r="X174">
        <v>3.75</v>
      </c>
      <c r="Y174">
        <v>3.75</v>
      </c>
      <c r="Z174">
        <v>3.75</v>
      </c>
      <c r="AA174">
        <v>3.75</v>
      </c>
      <c r="AB174">
        <v>3.75</v>
      </c>
      <c r="AC174">
        <v>3.75</v>
      </c>
      <c r="AD174">
        <v>3.75</v>
      </c>
      <c r="AE174">
        <v>3.75</v>
      </c>
      <c r="AF174">
        <v>3.75</v>
      </c>
      <c r="AG174">
        <v>3.75</v>
      </c>
      <c r="AH174">
        <v>3.75</v>
      </c>
      <c r="AI174">
        <v>3.75</v>
      </c>
    </row>
    <row r="175" spans="3:35">
      <c r="C175">
        <v>5.625</v>
      </c>
      <c r="D175">
        <v>5.625</v>
      </c>
      <c r="E175">
        <v>5.625</v>
      </c>
      <c r="F175">
        <v>5.625</v>
      </c>
      <c r="G175">
        <v>5.625</v>
      </c>
      <c r="H175">
        <v>5.625</v>
      </c>
      <c r="I175">
        <v>5.625</v>
      </c>
      <c r="J175">
        <v>5.625</v>
      </c>
      <c r="K175">
        <v>5.625</v>
      </c>
      <c r="L175">
        <v>5.625</v>
      </c>
      <c r="M175">
        <v>5.625</v>
      </c>
      <c r="N175">
        <v>5.625</v>
      </c>
      <c r="O175">
        <v>5.625</v>
      </c>
      <c r="P175">
        <v>5.625</v>
      </c>
      <c r="Q175">
        <v>5.625</v>
      </c>
      <c r="R175">
        <v>5.625</v>
      </c>
      <c r="S175">
        <v>5.625</v>
      </c>
      <c r="T175">
        <v>5.625</v>
      </c>
      <c r="U175">
        <v>5.625</v>
      </c>
      <c r="V175">
        <v>5.625</v>
      </c>
      <c r="W175">
        <v>5.625</v>
      </c>
      <c r="X175">
        <v>5.625</v>
      </c>
      <c r="Y175">
        <v>5.625</v>
      </c>
      <c r="Z175">
        <v>5.625</v>
      </c>
      <c r="AA175">
        <v>5.625</v>
      </c>
      <c r="AB175">
        <v>5.625</v>
      </c>
      <c r="AC175">
        <v>5.625</v>
      </c>
      <c r="AD175">
        <v>5.625</v>
      </c>
      <c r="AE175">
        <v>5.625</v>
      </c>
      <c r="AF175">
        <v>5.625</v>
      </c>
      <c r="AG175">
        <v>5.625</v>
      </c>
      <c r="AH175">
        <v>5.625</v>
      </c>
      <c r="AI175">
        <v>5.625</v>
      </c>
    </row>
  </sheetData>
  <mergeCells count="1">
    <mergeCell ref="B2:H2"/>
  </mergeCell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Sandbox</vt:lpstr>
      <vt:lpstr>Test Results</vt:lpstr>
      <vt:lpstr>Costs Calculations</vt:lpstr>
      <vt:lpstr>Sheet3</vt:lpstr>
      <vt:lpstr>lookups</vt:lpstr>
      <vt:lpstr>Sheet1</vt:lpstr>
      <vt:lpstr>Spring Turn Diameter</vt:lpstr>
      <vt:lpstr>avgtens</vt:lpstr>
      <vt:lpstr>cyc</vt:lpstr>
      <vt:lpstr>cycrat</vt:lpstr>
      <vt:lpstr>ds_cyc</vt:lpstr>
      <vt:lpstr>ds_ippt</vt:lpstr>
      <vt:lpstr>ds_pipe</vt:lpstr>
      <vt:lpstr>ds_tt</vt:lpstr>
      <vt:lpstr>ippt</vt:lpstr>
      <vt:lpstr>lift</vt:lpstr>
      <vt:lpstr>linked_duplex</vt:lpstr>
      <vt:lpstr>mp</vt:lpstr>
      <vt:lpstr>mp_base</vt:lpstr>
      <vt:lpstr>tt</vt:lpstr>
      <vt:lpstr>w1_cl</vt:lpstr>
      <vt:lpstr>w1_lu</vt:lpstr>
      <vt:lpstr>w1_od</vt:lpstr>
      <vt:lpstr>w1_wd</vt:lpstr>
      <vt:lpstr>w2_cl</vt:lpstr>
      <vt:lpstr>w2_lu</vt:lpstr>
      <vt:lpstr>w2_od</vt:lpstr>
      <vt:lpstr>w2_wd</vt:lpstr>
      <vt:lpstr>wd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J-Moriarty</dc:creator>
  <cp:lastModifiedBy>J-Moriarty</cp:lastModifiedBy>
  <dcterms:created xsi:type="dcterms:W3CDTF">2017-10-03T13:52:42Z</dcterms:created>
  <dcterms:modified xsi:type="dcterms:W3CDTF">2017-11-28T15:55:21Z</dcterms:modified>
</cp:coreProperties>
</file>